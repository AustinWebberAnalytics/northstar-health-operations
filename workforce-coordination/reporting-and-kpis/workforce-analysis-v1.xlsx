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workforce-coordination/reporting-and-kpis/"/>
    </mc:Choice>
  </mc:AlternateContent>
  <xr:revisionPtr revIDLastSave="235" documentId="11_F25DC773A252ABDACC104871895B64DE5BDE58EE" xr6:coauthVersionLast="47" xr6:coauthVersionMax="47" xr10:uidLastSave="{CCF66708-976B-4BA0-B90B-C6B24B5A580E}"/>
  <bookViews>
    <workbookView xWindow="19095" yWindow="0" windowWidth="19410" windowHeight="20985" activeTab="1" xr2:uid="{00000000-000D-0000-FFFF-FFFF00000000}"/>
  </bookViews>
  <sheets>
    <sheet name="Executive Summary" sheetId="1" r:id="rId1"/>
    <sheet name="Pivot Tables" sheetId="7" r:id="rId2"/>
    <sheet name="workforce-roster" sheetId="2" r:id="rId3"/>
    <sheet name="workforce-assignments" sheetId="3" r:id="rId4"/>
    <sheet name="workforce-coverage-schedule" sheetId="4" r:id="rId5"/>
    <sheet name="workforce-workload-distribution" sheetId="5" r:id="rId6"/>
    <sheet name="workforce-escalations" sheetId="6" r:id="rId7"/>
  </sheets>
  <definedNames>
    <definedName name="ExternalData_1" localSheetId="3" hidden="1">'workforce-assignments'!$A$1:$J$19</definedName>
    <definedName name="ExternalData_1" localSheetId="4" hidden="1">'workforce-coverage-schedule'!$A$1:$I$16</definedName>
    <definedName name="ExternalData_1" localSheetId="6" hidden="1">'workforce-escalations'!$A$1:$J$11</definedName>
    <definedName name="ExternalData_1" localSheetId="2" hidden="1">'workforce-roster'!$A$1:$K$16</definedName>
    <definedName name="ExternalData_1" localSheetId="5" hidden="1">'workforce-workload-distribution'!$A$1:$J$16</definedName>
  </definedNames>
  <calcPr calcId="162913"/>
  <pivotCaches>
    <pivotCache cacheId="0" r:id="rId8"/>
    <pivotCache cacheId="1" r:id="rId9"/>
    <pivotCache cacheId="2" r:id="rId10"/>
    <pivotCache cacheId="3" r:id="rId11"/>
    <pivotCache cacheId="4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ED1B1D-2D0F-423F-80AD-6F4A712DB6E4}" keepAlive="1" name="Query - workforce-assignments" description="Connection to the 'workforce-assignments' query in the workbook." type="5" refreshedVersion="8" background="1" saveData="1">
    <dbPr connection="Provider=Microsoft.Mashup.OleDb.1;Data Source=$Workbook$;Location=workforce-assignments;Extended Properties=&quot;&quot;" command="SELECT * FROM [workforce-assignments]"/>
  </connection>
  <connection id="2" xr16:uid="{E6C3D1FA-02EF-4A92-BC91-9C8A263C9202}" keepAlive="1" name="Query - workforce-coverage-schedule" description="Connection to the 'workforce-coverage-schedule' query in the workbook." type="5" refreshedVersion="8" background="1" saveData="1">
    <dbPr connection="Provider=Microsoft.Mashup.OleDb.1;Data Source=$Workbook$;Location=workforce-coverage-schedule;Extended Properties=&quot;&quot;" command="SELECT * FROM [workforce-coverage-schedule]"/>
  </connection>
  <connection id="3" xr16:uid="{B21E43CE-FB09-4215-81ED-8F3CB8340667}" keepAlive="1" name="Query - workforce-escalations" description="Connection to the 'workforce-escalations' query in the workbook." type="5" refreshedVersion="8" background="1" saveData="1">
    <dbPr connection="Provider=Microsoft.Mashup.OleDb.1;Data Source=$Workbook$;Location=workforce-escalations;Extended Properties=&quot;&quot;" command="SELECT * FROM [workforce-escalations]"/>
  </connection>
  <connection id="4" xr16:uid="{DD2AC88A-BE76-4044-9212-0F1A078DF023}" keepAlive="1" name="Query - workforce-roster" description="Connection to the 'workforce-roster' query in the workbook." type="5" refreshedVersion="8" background="1" saveData="1">
    <dbPr connection="Provider=Microsoft.Mashup.OleDb.1;Data Source=$Workbook$;Location=workforce-roster;Extended Properties=&quot;&quot;" command="SELECT * FROM [workforce-roster]"/>
  </connection>
  <connection id="5" xr16:uid="{49843676-02E8-493D-B046-3EADB5BD6D18}" keepAlive="1" name="Query - workforce-workload-distribution" description="Connection to the 'workforce-workload-distribution' query in the workbook." type="5" refreshedVersion="8" background="1" saveData="1">
    <dbPr connection="Provider=Microsoft.Mashup.OleDb.1;Data Source=$Workbook$;Location=workforce-workload-distribution;Extended Properties=&quot;&quot;" command="SELECT * FROM [workforce-workload-distribution]"/>
  </connection>
</connections>
</file>

<file path=xl/sharedStrings.xml><?xml version="1.0" encoding="utf-8"?>
<sst xmlns="http://schemas.openxmlformats.org/spreadsheetml/2006/main" count="608" uniqueCount="285">
  <si>
    <t>employee_id</t>
  </si>
  <si>
    <t>employee_name</t>
  </si>
  <si>
    <t>department</t>
  </si>
  <si>
    <t>team</t>
  </si>
  <si>
    <t>role</t>
  </si>
  <si>
    <t>employment_status</t>
  </si>
  <si>
    <t>primary_shift</t>
  </si>
  <si>
    <t>standard_weekly_hours</t>
  </si>
  <si>
    <t>skill_area</t>
  </si>
  <si>
    <t>coverage_priority</t>
  </si>
  <si>
    <t>active_flag</t>
  </si>
  <si>
    <t>EMP-001</t>
  </si>
  <si>
    <t>Maya Thompson</t>
  </si>
  <si>
    <t>Operations</t>
  </si>
  <si>
    <t>Service Response</t>
  </si>
  <si>
    <t>Operations Coordinator</t>
  </si>
  <si>
    <t>Active</t>
  </si>
  <si>
    <t>Day</t>
  </si>
  <si>
    <t>Ticket Triage</t>
  </si>
  <si>
    <t>High</t>
  </si>
  <si>
    <t>EMP-002</t>
  </si>
  <si>
    <t>Daniel Reyes</t>
  </si>
  <si>
    <t>Operations Specialist</t>
  </si>
  <si>
    <t>Ticket Resolution</t>
  </si>
  <si>
    <t>EMP-003</t>
  </si>
  <si>
    <t>Aisha Patel</t>
  </si>
  <si>
    <t>Inventory Support</t>
  </si>
  <si>
    <t>Inventory Coordinator</t>
  </si>
  <si>
    <t>Inventory Processing</t>
  </si>
  <si>
    <t>EMP-004</t>
  </si>
  <si>
    <t>Marcus Hill</t>
  </si>
  <si>
    <t>Inventory Specialist</t>
  </si>
  <si>
    <t>Evening</t>
  </si>
  <si>
    <t>Inventory Reconciliation</t>
  </si>
  <si>
    <t>Moderate</t>
  </si>
  <si>
    <t>EMP-005</t>
  </si>
  <si>
    <t>Elena Brooks</t>
  </si>
  <si>
    <t>Vendor Management</t>
  </si>
  <si>
    <t>Vendor Operations</t>
  </si>
  <si>
    <t>Vendor Coordinator</t>
  </si>
  <si>
    <t>Vendor Follow-Up</t>
  </si>
  <si>
    <t>EMP-006</t>
  </si>
  <si>
    <t>Noah Kim</t>
  </si>
  <si>
    <t>Vendor Analyst</t>
  </si>
  <si>
    <t>SLA Monitoring</t>
  </si>
  <si>
    <t>EMP-007</t>
  </si>
  <si>
    <t>Grace Miller</t>
  </si>
  <si>
    <t>Escalation Support</t>
  </si>
  <si>
    <t>Escalation Specialist</t>
  </si>
  <si>
    <t>Operational Escalations</t>
  </si>
  <si>
    <t>EMP-008</t>
  </si>
  <si>
    <t>Jordan Lee</t>
  </si>
  <si>
    <t>Operations Associate</t>
  </si>
  <si>
    <t>EMP-009</t>
  </si>
  <si>
    <t>Sofia Martinez</t>
  </si>
  <si>
    <t>Ticket Support</t>
  </si>
  <si>
    <t>EMP-010</t>
  </si>
  <si>
    <t>Ethan Carter</t>
  </si>
  <si>
    <t>Inventory Associate</t>
  </si>
  <si>
    <t>Stock Review</t>
  </si>
  <si>
    <t>EMP-011</t>
  </si>
  <si>
    <t>Olivia Nguyen</t>
  </si>
  <si>
    <t>Vendor Support Associate</t>
  </si>
  <si>
    <t>Corrective Action Tracking</t>
  </si>
  <si>
    <t>EMP-012</t>
  </si>
  <si>
    <t>Liam Johnson</t>
  </si>
  <si>
    <t>Coverage Support</t>
  </si>
  <si>
    <t>Floater</t>
  </si>
  <si>
    <t>Variable</t>
  </si>
  <si>
    <t>Cross-Team Support</t>
  </si>
  <si>
    <t>EMP-013</t>
  </si>
  <si>
    <t>Natalie King</t>
  </si>
  <si>
    <t>Leave</t>
  </si>
  <si>
    <t>EMP-014</t>
  </si>
  <si>
    <t>Caleb Wright</t>
  </si>
  <si>
    <t>Low</t>
  </si>
  <si>
    <t>EMP-015</t>
  </si>
  <si>
    <t>Priya Shah</t>
  </si>
  <si>
    <t>Inventory Count Support</t>
  </si>
  <si>
    <t>assignment_id</t>
  </si>
  <si>
    <t>assignment_name</t>
  </si>
  <si>
    <t>assignment_category</t>
  </si>
  <si>
    <t>priority_level</t>
  </si>
  <si>
    <t>estimated_hours_per_week</t>
  </si>
  <si>
    <t>assignment_status</t>
  </si>
  <si>
    <t>start_date</t>
  </si>
  <si>
    <t>end_date</t>
  </si>
  <si>
    <t>cross_functional_flag</t>
  </si>
  <si>
    <t>ASSIGN-001</t>
  </si>
  <si>
    <t>Ticket Queue Coordination</t>
  </si>
  <si>
    <t>Ticketing</t>
  </si>
  <si>
    <t/>
  </si>
  <si>
    <t>ASSIGN-002</t>
  </si>
  <si>
    <t>Escalation Review Support</t>
  </si>
  <si>
    <t>Escalation Management</t>
  </si>
  <si>
    <t>ASSIGN-003</t>
  </si>
  <si>
    <t>Ticket Resolution Processing</t>
  </si>
  <si>
    <t>ASSIGN-004</t>
  </si>
  <si>
    <t>Inventory Replenishment Coordination</t>
  </si>
  <si>
    <t>Inventory Operations</t>
  </si>
  <si>
    <t>ASSIGN-005</t>
  </si>
  <si>
    <t>Inventory Shortage Review</t>
  </si>
  <si>
    <t>ASSIGN-006</t>
  </si>
  <si>
    <t>ASSIGN-007</t>
  </si>
  <si>
    <t>Vendor Performance Monitoring</t>
  </si>
  <si>
    <t>ASSIGN-008</t>
  </si>
  <si>
    <t>Corrective Action Follow-Up</t>
  </si>
  <si>
    <t>ASSIGN-009</t>
  </si>
  <si>
    <t>SLA Compliance Monitoring</t>
  </si>
  <si>
    <t>ASSIGN-010</t>
  </si>
  <si>
    <t>Operational Escalation Management</t>
  </si>
  <si>
    <t>Critical</t>
  </si>
  <si>
    <t>ASSIGN-011</t>
  </si>
  <si>
    <t>Escalation Queue Support</t>
  </si>
  <si>
    <t>ASSIGN-012</t>
  </si>
  <si>
    <t>Ticket Queue Support</t>
  </si>
  <si>
    <t>ASSIGN-013</t>
  </si>
  <si>
    <t>ASSIGN-014</t>
  </si>
  <si>
    <t>Vendor Corrective Action Tracking</t>
  </si>
  <si>
    <t>ASSIGN-015</t>
  </si>
  <si>
    <t>Cross-Team Coverage Support</t>
  </si>
  <si>
    <t>Workforce Coordination</t>
  </si>
  <si>
    <t>ASSIGN-016</t>
  </si>
  <si>
    <t>Suspended</t>
  </si>
  <si>
    <t>ASSIGN-017</t>
  </si>
  <si>
    <t>ASSIGN-018</t>
  </si>
  <si>
    <t>schedule_id</t>
  </si>
  <si>
    <t>schedule_date</t>
  </si>
  <si>
    <t>shift_type</t>
  </si>
  <si>
    <t>scheduled_hours</t>
  </si>
  <si>
    <t>coverage_status</t>
  </si>
  <si>
    <t>coverage_area</t>
  </si>
  <si>
    <t>backup_required_flag</t>
  </si>
  <si>
    <t>SCHED-001</t>
  </si>
  <si>
    <t>Covered</t>
  </si>
  <si>
    <t>SCHED-002</t>
  </si>
  <si>
    <t>SCHED-003</t>
  </si>
  <si>
    <t>SCHED-004</t>
  </si>
  <si>
    <t>SCHED-005</t>
  </si>
  <si>
    <t>SCHED-006</t>
  </si>
  <si>
    <t>SCHED-007</t>
  </si>
  <si>
    <t>SCHED-008</t>
  </si>
  <si>
    <t>SCHED-009</t>
  </si>
  <si>
    <t>SCHED-010</t>
  </si>
  <si>
    <t>SCHED-011</t>
  </si>
  <si>
    <t>SCHED-012</t>
  </si>
  <si>
    <t>SCHED-013</t>
  </si>
  <si>
    <t>Uncovered</t>
  </si>
  <si>
    <t>SCHED-014</t>
  </si>
  <si>
    <t>SCHED-015</t>
  </si>
  <si>
    <t>workload_id</t>
  </si>
  <si>
    <t>reporting_period</t>
  </si>
  <si>
    <t>assigned_tasks</t>
  </si>
  <si>
    <t>completed_tasks</t>
  </si>
  <si>
    <t>open_tasks</t>
  </si>
  <si>
    <t>estimated_hours</t>
  </si>
  <si>
    <t>actual_hours</t>
  </si>
  <si>
    <t>workload_status</t>
  </si>
  <si>
    <t>capacity_utilization_percent</t>
  </si>
  <si>
    <t>WORK-001</t>
  </si>
  <si>
    <t>Balanced</t>
  </si>
  <si>
    <t>WORK-002</t>
  </si>
  <si>
    <t>Overloaded</t>
  </si>
  <si>
    <t>WORK-003</t>
  </si>
  <si>
    <t>WORK-004</t>
  </si>
  <si>
    <t>WORK-005</t>
  </si>
  <si>
    <t>WORK-006</t>
  </si>
  <si>
    <t>WORK-007</t>
  </si>
  <si>
    <t>WORK-008</t>
  </si>
  <si>
    <t>WORK-009</t>
  </si>
  <si>
    <t>WORK-010</t>
  </si>
  <si>
    <t>Underutilized</t>
  </si>
  <si>
    <t>WORK-011</t>
  </si>
  <si>
    <t>WORK-012</t>
  </si>
  <si>
    <t>WORK-013</t>
  </si>
  <si>
    <t>Unavailable</t>
  </si>
  <si>
    <t>WORK-014</t>
  </si>
  <si>
    <t>WORK-015</t>
  </si>
  <si>
    <t>escalation_id</t>
  </si>
  <si>
    <t>escalation_date</t>
  </si>
  <si>
    <t>escalation_type</t>
  </si>
  <si>
    <t>severity_level</t>
  </si>
  <si>
    <t>affected_team</t>
  </si>
  <si>
    <t>root_cause</t>
  </si>
  <si>
    <t>current_status</t>
  </si>
  <si>
    <t>resolution_owner</t>
  </si>
  <si>
    <t>business_impact</t>
  </si>
  <si>
    <t>WF-ESC-001</t>
  </si>
  <si>
    <t>Staffing Shortage</t>
  </si>
  <si>
    <t>Employee Leave</t>
  </si>
  <si>
    <t>Open</t>
  </si>
  <si>
    <t>Operations Manager</t>
  </si>
  <si>
    <t>Increased Ticket Backlog</t>
  </si>
  <si>
    <t>WF-ESC-002</t>
  </si>
  <si>
    <t>Coverage Gap</t>
  </si>
  <si>
    <t>Unfilled Shift</t>
  </si>
  <si>
    <t>Monitoring</t>
  </si>
  <si>
    <t>Workforce Coordinator</t>
  </si>
  <si>
    <t>Reduced Scheduling Flexibility</t>
  </si>
  <si>
    <t>WF-ESC-003</t>
  </si>
  <si>
    <t>Workload Imbalance</t>
  </si>
  <si>
    <t>Uneven Task Distribution</t>
  </si>
  <si>
    <t>In Progress</t>
  </si>
  <si>
    <t>Inventory Manager</t>
  </si>
  <si>
    <t>Delayed Inventory Processing</t>
  </si>
  <si>
    <t>WF-ESC-004</t>
  </si>
  <si>
    <t>Capacity Constraint</t>
  </si>
  <si>
    <t>Increased Vendor Activity</t>
  </si>
  <si>
    <t>Vendor Manager</t>
  </si>
  <si>
    <t>SLA Monitoring Delays</t>
  </si>
  <si>
    <t>WF-ESC-005</t>
  </si>
  <si>
    <t>Escalation Queue Backlog</t>
  </si>
  <si>
    <t>High Incident Volume</t>
  </si>
  <si>
    <t>Extended Resolution Times</t>
  </si>
  <si>
    <t>WF-ESC-006</t>
  </si>
  <si>
    <t>Cross-Team Support Request</t>
  </si>
  <si>
    <t>Temporary Resource Need</t>
  </si>
  <si>
    <t>Resolved</t>
  </si>
  <si>
    <t>Minimal Operational Impact</t>
  </si>
  <si>
    <t>WF-ESC-007</t>
  </si>
  <si>
    <t>Employee Absence</t>
  </si>
  <si>
    <t>Reduced Processing Capacity</t>
  </si>
  <si>
    <t>WF-ESC-008</t>
  </si>
  <si>
    <t>Corrective Action Volume</t>
  </si>
  <si>
    <t>Delayed Follow-Up Activity</t>
  </si>
  <si>
    <t>WF-ESC-009</t>
  </si>
  <si>
    <t>Schedule Conflict</t>
  </si>
  <si>
    <t>Temporary Coverage Reduction</t>
  </si>
  <si>
    <t>WF-ESC-010</t>
  </si>
  <si>
    <t>Sustained High Workload</t>
  </si>
  <si>
    <t>Escalation Processing Delays</t>
  </si>
  <si>
    <t>Employment Status</t>
  </si>
  <si>
    <t>Coverage Status</t>
  </si>
  <si>
    <t>Schedule Count</t>
  </si>
  <si>
    <t>Employee Count</t>
  </si>
  <si>
    <t>Coverage Status Distribution</t>
  </si>
  <si>
    <t>Workforce Status Distribution</t>
  </si>
  <si>
    <t>• Most workforce positions are actively staffed.</t>
  </si>
  <si>
    <t>• One employee is currently on leave, creating a minor coverage dependency.</t>
  </si>
  <si>
    <t>• Overall staffing availability remains stable.</t>
  </si>
  <si>
    <t>• Most scheduled coverage requirements were successfully met.</t>
  </si>
  <si>
    <t>• One schedule remains uncovered and may require additional staffing support.</t>
  </si>
  <si>
    <t>• Coverage performance is stable overall, with limited operational risk at this time.</t>
  </si>
  <si>
    <t>Workload Status Distribution</t>
  </si>
  <si>
    <t>Workload Status</t>
  </si>
  <si>
    <t>• Most employees are carrying manageable workloads.</t>
  </si>
  <si>
    <t>• Three employees are handling heavier workloads than the rest of the team and may require additional support.</t>
  </si>
  <si>
    <t>• Several employees have available capacity that could help balance workload across the team.</t>
  </si>
  <si>
    <t>• One employee remains unavailable, reducing staffing flexibility.</t>
  </si>
  <si>
    <t>Assignment Category Distribution</t>
  </si>
  <si>
    <t>Assignment Category</t>
  </si>
  <si>
    <t>Assignment Count</t>
  </si>
  <si>
    <t>• Work assignments are distributed across multiple operational functions.</t>
  </si>
  <si>
    <t>• Inventory Operations currently carries the largest share of assigned work.</t>
  </si>
  <si>
    <t>• Assignment volume remains relatively balanced overall, reducing dependence on any single functional area.</t>
  </si>
  <si>
    <t>Escalation Severity Distribution</t>
  </si>
  <si>
    <t>Severity Level</t>
  </si>
  <si>
    <t>Escalation Count</t>
  </si>
  <si>
    <t>• Most workforce escalations are Moderate or High severity.</t>
  </si>
  <si>
    <t>• One Critical issue remains and requires continued attention.</t>
  </si>
  <si>
    <t>• Workforce risks appear concentrated in a small number of higher-priority issues rather than widespread operational disruption.</t>
  </si>
  <si>
    <t>Northstar Enterprise</t>
  </si>
  <si>
    <t>KPI Highlights</t>
  </si>
  <si>
    <t>Active Workforce Count: 14</t>
  </si>
  <si>
    <t>Workforce Availability Rate: 93.3%</t>
  </si>
  <si>
    <t>Coverage Fulfillment Rate: 93.3%</t>
  </si>
  <si>
    <t>Overloaded Employee Count: 3</t>
  </si>
  <si>
    <t>Open Workforce Escalations: 8</t>
  </si>
  <si>
    <t>High or Critical Escalations: 5</t>
  </si>
  <si>
    <r>
      <t>Purpose: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Summarizes workforce capacity, coverage, workload, and staffing-related risks.</t>
    </r>
  </si>
  <si>
    <t>Operational Observations</t>
  </si>
  <si>
    <t>• Workforce availability remains strong, with most positions actively staffed.</t>
  </si>
  <si>
    <t>• Coverage performance is stable overall, though one uncovered schedule remains.</t>
  </si>
  <si>
    <t>• Most employees are operating within expected workload ranges, while a small number are carrying elevated workloads.</t>
  </si>
  <si>
    <t>• Workforce risks are concentrated in a limited number of higher-priority escalations rather than widespread operational disruption.</t>
  </si>
  <si>
    <t>Reporting Confidence</t>
  </si>
  <si>
    <t>This analysis is based on a limited operational dataset intended to demonstrate workforce reporting and analysis methodologies.</t>
  </si>
  <si>
    <t>Observed patterns should be interpreted as representative examples rather than long-term workforce trends.</t>
  </si>
  <si>
    <t>Recommended Focus Areas</t>
  </si>
  <si>
    <t>• Monitor employees carrying elevated workloads for signs of capacity strain.</t>
  </si>
  <si>
    <t>• Continue tracking coverage-sensitive roles to minimize scheduling gaps.</t>
  </si>
  <si>
    <t>• Prioritize resolution of Critical and High severity workforce escalations.</t>
  </si>
  <si>
    <t>• Evaluate opportunities to redistribute work from overloaded employees to available workforce capacity.</t>
  </si>
  <si>
    <t>Workforce Analysis Executive Summary</t>
  </si>
  <si>
    <t>Reporting Period: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</si>
</sst>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i/>
      <u/>
      <sz val="20"/>
      <color theme="9" tint="-0.249977111117893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u/>
      <sz val="14"/>
      <color theme="9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1" applyFon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2" borderId="1" xfId="0" applyFill="1" applyBorder="1"/>
    <xf numFmtId="0" fontId="0" fillId="2" borderId="2" xfId="0" applyFill="1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8" xfId="0" applyFill="1" applyBorder="1"/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1" applyFont="1"/>
    <xf numFmtId="0" fontId="0" fillId="0" borderId="7" xfId="0" applyBorder="1"/>
    <xf numFmtId="0" fontId="8" fillId="0" borderId="0" xfId="0" applyFont="1"/>
    <xf numFmtId="0" fontId="0" fillId="0" borderId="12" xfId="0" applyBorder="1"/>
    <xf numFmtId="0" fontId="0" fillId="0" borderId="0" xfId="0" applyAlignment="1">
      <alignment horizontal="left" vertical="top" wrapText="1"/>
    </xf>
  </cellXfs>
  <cellStyles count="2">
    <cellStyle name="Heading 4" xfId="1" builtinId="19"/>
    <cellStyle name="Normal" xfId="0" builtinId="0"/>
  </cellStyles>
  <dxfs count="7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78.682805324075" createdVersion="8" refreshedVersion="8" minRefreshableVersion="3" recordCount="15" xr:uid="{435C3610-47A2-4AC1-8649-526D243F975C}">
  <cacheSource type="worksheet">
    <worksheetSource name="workforce_roster"/>
  </cacheSource>
  <cacheFields count="11">
    <cacheField name="employee_id" numFmtId="0">
      <sharedItems/>
    </cacheField>
    <cacheField name="employee_name" numFmtId="0">
      <sharedItems/>
    </cacheField>
    <cacheField name="department" numFmtId="0">
      <sharedItems/>
    </cacheField>
    <cacheField name="team" numFmtId="0">
      <sharedItems/>
    </cacheField>
    <cacheField name="role" numFmtId="0">
      <sharedItems/>
    </cacheField>
    <cacheField name="employment_status" numFmtId="0">
      <sharedItems count="2">
        <s v="Active"/>
        <s v="Leave"/>
      </sharedItems>
    </cacheField>
    <cacheField name="primary_shift" numFmtId="0">
      <sharedItems/>
    </cacheField>
    <cacheField name="standard_weekly_hours" numFmtId="0">
      <sharedItems containsSemiMixedTypes="0" containsString="0" containsNumber="1" containsInteger="1" minValue="24" maxValue="40"/>
    </cacheField>
    <cacheField name="skill_area" numFmtId="0">
      <sharedItems/>
    </cacheField>
    <cacheField name="coverage_priority" numFmtId="0">
      <sharedItems/>
    </cacheField>
    <cacheField name="active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78.684717476855" createdVersion="8" refreshedVersion="8" minRefreshableVersion="3" recordCount="15" xr:uid="{0CA10FB4-73B6-42F9-8B39-BD2A96175F0C}">
  <cacheSource type="worksheet">
    <worksheetSource name="workforce_coverage_schedule"/>
  </cacheSource>
  <cacheFields count="9">
    <cacheField name="schedule_id" numFmtId="0">
      <sharedItems/>
    </cacheField>
    <cacheField name="employee_id" numFmtId="0">
      <sharedItems/>
    </cacheField>
    <cacheField name="schedule_date" numFmtId="14">
      <sharedItems containsSemiMixedTypes="0" containsNonDate="0" containsDate="1" containsString="0" minDate="2026-06-01T00:00:00" maxDate="2026-06-02T00:00:00"/>
    </cacheField>
    <cacheField name="shift_type" numFmtId="0">
      <sharedItems/>
    </cacheField>
    <cacheField name="scheduled_hours" numFmtId="0">
      <sharedItems containsSemiMixedTypes="0" containsString="0" containsNumber="1" containsInteger="1" minValue="6" maxValue="8"/>
    </cacheField>
    <cacheField name="coverage_status" numFmtId="0">
      <sharedItems count="2">
        <s v="Covered"/>
        <s v="Uncovered"/>
      </sharedItems>
    </cacheField>
    <cacheField name="coverage_area" numFmtId="0">
      <sharedItems/>
    </cacheField>
    <cacheField name="coverage_priority" numFmtId="0">
      <sharedItems/>
    </cacheField>
    <cacheField name="backup_required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78.689260763887" createdVersion="8" refreshedVersion="8" minRefreshableVersion="3" recordCount="15" xr:uid="{1C6D6074-8C21-45E9-9415-31A9FD02F30E}">
  <cacheSource type="worksheet">
    <worksheetSource name="workforce_workload_distribution"/>
  </cacheSource>
  <cacheFields count="10">
    <cacheField name="workload_id" numFmtId="0">
      <sharedItems/>
    </cacheField>
    <cacheField name="employee_id" numFmtId="0">
      <sharedItems/>
    </cacheField>
    <cacheField name="reporting_period" numFmtId="14">
      <sharedItems containsSemiMixedTypes="0" containsNonDate="0" containsDate="1" containsString="0" minDate="2026-06-01T00:00:00" maxDate="2026-06-02T00:00:00"/>
    </cacheField>
    <cacheField name="assigned_tasks" numFmtId="0">
      <sharedItems containsSemiMixedTypes="0" containsString="0" containsNumber="1" containsInteger="1" minValue="0" maxValue="63"/>
    </cacheField>
    <cacheField name="completed_tasks" numFmtId="0">
      <sharedItems containsSemiMixedTypes="0" containsString="0" containsNumber="1" containsInteger="1" minValue="0" maxValue="55"/>
    </cacheField>
    <cacheField name="open_tasks" numFmtId="0">
      <sharedItems containsSemiMixedTypes="0" containsString="0" containsNumber="1" containsInteger="1" minValue="0" maxValue="9"/>
    </cacheField>
    <cacheField name="estimated_hours" numFmtId="0">
      <sharedItems containsSemiMixedTypes="0" containsString="0" containsNumber="1" containsInteger="1" minValue="0" maxValue="30"/>
    </cacheField>
    <cacheField name="actual_hours" numFmtId="0">
      <sharedItems containsSemiMixedTypes="0" containsString="0" containsNumber="1" containsInteger="1" minValue="0" maxValue="39"/>
    </cacheField>
    <cacheField name="workload_status" numFmtId="0">
      <sharedItems count="4">
        <s v="Balanced"/>
        <s v="Overloaded"/>
        <s v="Underutilized"/>
        <s v="Unavailable"/>
      </sharedItems>
    </cacheField>
    <cacheField name="capacity_utilization_percent" numFmtId="0">
      <sharedItems containsSemiMixedTypes="0" containsString="0" containsNumber="1" containsInteger="1" minValue="0" maxValue="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78.692610532409" createdVersion="8" refreshedVersion="8" minRefreshableVersion="3" recordCount="18" xr:uid="{8ADF9AF0-E227-4041-91D8-795232FC106F}">
  <cacheSource type="worksheet">
    <worksheetSource name="workforce_assignments"/>
  </cacheSource>
  <cacheFields count="10">
    <cacheField name="assignment_id" numFmtId="0">
      <sharedItems/>
    </cacheField>
    <cacheField name="employee_id" numFmtId="0">
      <sharedItems/>
    </cacheField>
    <cacheField name="assignment_name" numFmtId="0">
      <sharedItems/>
    </cacheField>
    <cacheField name="assignment_category" numFmtId="0">
      <sharedItems count="5">
        <s v="Ticketing"/>
        <s v="Escalation Management"/>
        <s v="Inventory Operations"/>
        <s v="Vendor Management"/>
        <s v="Workforce Coordination"/>
      </sharedItems>
    </cacheField>
    <cacheField name="priority_level" numFmtId="0">
      <sharedItems/>
    </cacheField>
    <cacheField name="estimated_hours_per_week" numFmtId="0">
      <sharedItems containsSemiMixedTypes="0" containsString="0" containsNumber="1" containsInteger="1" minValue="10" maxValue="30"/>
    </cacheField>
    <cacheField name="assignment_status" numFmtId="0">
      <sharedItems/>
    </cacheField>
    <cacheField name="start_date" numFmtId="14">
      <sharedItems containsSemiMixedTypes="0" containsNonDate="0" containsDate="1" containsString="0" minDate="2026-06-01T00:00:00" maxDate="2026-06-02T00:00:00"/>
    </cacheField>
    <cacheField name="end_date" numFmtId="0">
      <sharedItems/>
    </cacheField>
    <cacheField name="cross_functional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stin webber" refreshedDate="46178.700610416665" createdVersion="8" refreshedVersion="8" minRefreshableVersion="3" recordCount="10" xr:uid="{C9A55202-EDFA-41D9-B5DE-59D5049FD5A7}">
  <cacheSource type="worksheet">
    <worksheetSource name="workforce_escalations"/>
  </cacheSource>
  <cacheFields count="10">
    <cacheField name="escalation_id" numFmtId="0">
      <sharedItems/>
    </cacheField>
    <cacheField name="escalation_date" numFmtId="14">
      <sharedItems containsSemiMixedTypes="0" containsNonDate="0" containsDate="1" containsString="0" minDate="2026-06-02T00:00:00" maxDate="2026-06-11T00:00:00"/>
    </cacheField>
    <cacheField name="department" numFmtId="0">
      <sharedItems/>
    </cacheField>
    <cacheField name="escalation_type" numFmtId="0">
      <sharedItems/>
    </cacheField>
    <cacheField name="severity_level" numFmtId="0">
      <sharedItems count="4">
        <s v="High"/>
        <s v="Moderate"/>
        <s v="Critical"/>
        <s v="Low"/>
      </sharedItems>
    </cacheField>
    <cacheField name="affected_team" numFmtId="0">
      <sharedItems/>
    </cacheField>
    <cacheField name="root_cause" numFmtId="0">
      <sharedItems/>
    </cacheField>
    <cacheField name="current_status" numFmtId="0">
      <sharedItems/>
    </cacheField>
    <cacheField name="resolution_owner" numFmtId="0">
      <sharedItems/>
    </cacheField>
    <cacheField name="business_impac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EMP-001"/>
    <s v="Maya Thompson"/>
    <s v="Operations"/>
    <s v="Service Response"/>
    <s v="Operations Coordinator"/>
    <x v="0"/>
    <s v="Day"/>
    <n v="40"/>
    <s v="Ticket Triage"/>
    <s v="High"/>
    <b v="1"/>
  </r>
  <r>
    <s v="EMP-002"/>
    <s v="Daniel Reyes"/>
    <s v="Operations"/>
    <s v="Service Response"/>
    <s v="Operations Specialist"/>
    <x v="0"/>
    <s v="Day"/>
    <n v="40"/>
    <s v="Ticket Resolution"/>
    <s v="High"/>
    <b v="1"/>
  </r>
  <r>
    <s v="EMP-003"/>
    <s v="Aisha Patel"/>
    <s v="Operations"/>
    <s v="Inventory Support"/>
    <s v="Inventory Coordinator"/>
    <x v="0"/>
    <s v="Day"/>
    <n v="40"/>
    <s v="Inventory Processing"/>
    <s v="High"/>
    <b v="1"/>
  </r>
  <r>
    <s v="EMP-004"/>
    <s v="Marcus Hill"/>
    <s v="Operations"/>
    <s v="Inventory Support"/>
    <s v="Inventory Specialist"/>
    <x v="0"/>
    <s v="Evening"/>
    <n v="40"/>
    <s v="Inventory Reconciliation"/>
    <s v="Moderate"/>
    <b v="1"/>
  </r>
  <r>
    <s v="EMP-005"/>
    <s v="Elena Brooks"/>
    <s v="Vendor Management"/>
    <s v="Vendor Operations"/>
    <s v="Vendor Coordinator"/>
    <x v="0"/>
    <s v="Day"/>
    <n v="40"/>
    <s v="Vendor Follow-Up"/>
    <s v="High"/>
    <b v="1"/>
  </r>
  <r>
    <s v="EMP-006"/>
    <s v="Noah Kim"/>
    <s v="Vendor Management"/>
    <s v="Vendor Operations"/>
    <s v="Vendor Analyst"/>
    <x v="0"/>
    <s v="Day"/>
    <n v="40"/>
    <s v="SLA Monitoring"/>
    <s v="Moderate"/>
    <b v="1"/>
  </r>
  <r>
    <s v="EMP-007"/>
    <s v="Grace Miller"/>
    <s v="Operations"/>
    <s v="Escalation Support"/>
    <s v="Escalation Specialist"/>
    <x v="0"/>
    <s v="Day"/>
    <n v="40"/>
    <s v="Operational Escalations"/>
    <s v="High"/>
    <b v="1"/>
  </r>
  <r>
    <s v="EMP-008"/>
    <s v="Jordan Lee"/>
    <s v="Operations"/>
    <s v="Escalation Support"/>
    <s v="Operations Associate"/>
    <x v="0"/>
    <s v="Evening"/>
    <n v="32"/>
    <s v="Escalation Support"/>
    <s v="Moderate"/>
    <b v="1"/>
  </r>
  <r>
    <s v="EMP-009"/>
    <s v="Sofia Martinez"/>
    <s v="Operations"/>
    <s v="Service Response"/>
    <s v="Operations Associate"/>
    <x v="0"/>
    <s v="Day"/>
    <n v="32"/>
    <s v="Ticket Support"/>
    <s v="Moderate"/>
    <b v="1"/>
  </r>
  <r>
    <s v="EMP-010"/>
    <s v="Ethan Carter"/>
    <s v="Operations"/>
    <s v="Inventory Support"/>
    <s v="Inventory Associate"/>
    <x v="0"/>
    <s v="Day"/>
    <n v="32"/>
    <s v="Stock Review"/>
    <s v="Moderate"/>
    <b v="1"/>
  </r>
  <r>
    <s v="EMP-011"/>
    <s v="Olivia Nguyen"/>
    <s v="Vendor Management"/>
    <s v="Vendor Operations"/>
    <s v="Vendor Support Associate"/>
    <x v="0"/>
    <s v="Evening"/>
    <n v="32"/>
    <s v="Corrective Action Tracking"/>
    <s v="Moderate"/>
    <b v="1"/>
  </r>
  <r>
    <s v="EMP-012"/>
    <s v="Liam Johnson"/>
    <s v="Operations"/>
    <s v="Coverage Support"/>
    <s v="Floater"/>
    <x v="0"/>
    <s v="Variable"/>
    <n v="24"/>
    <s v="Cross-Team Support"/>
    <s v="High"/>
    <b v="1"/>
  </r>
  <r>
    <s v="EMP-013"/>
    <s v="Natalie King"/>
    <s v="Operations"/>
    <s v="Coverage Support"/>
    <s v="Floater"/>
    <x v="1"/>
    <s v="Variable"/>
    <n v="24"/>
    <s v="Cross-Team Support"/>
    <s v="High"/>
    <b v="0"/>
  </r>
  <r>
    <s v="EMP-014"/>
    <s v="Caleb Wright"/>
    <s v="Operations"/>
    <s v="Service Response"/>
    <s v="Operations Associate"/>
    <x v="0"/>
    <s v="Evening"/>
    <n v="32"/>
    <s v="Ticket Support"/>
    <s v="Low"/>
    <b v="1"/>
  </r>
  <r>
    <s v="EMP-015"/>
    <s v="Priya Shah"/>
    <s v="Operations"/>
    <s v="Inventory Support"/>
    <s v="Inventory Associate"/>
    <x v="0"/>
    <s v="Day"/>
    <n v="32"/>
    <s v="Inventory Count Support"/>
    <s v="Low"/>
    <b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SCHED-001"/>
    <s v="EMP-001"/>
    <d v="2026-06-01T00:00:00"/>
    <s v="Day"/>
    <n v="8"/>
    <x v="0"/>
    <s v="Service Response"/>
    <s v="High"/>
    <b v="0"/>
  </r>
  <r>
    <s v="SCHED-002"/>
    <s v="EMP-002"/>
    <d v="2026-06-01T00:00:00"/>
    <s v="Day"/>
    <n v="8"/>
    <x v="0"/>
    <s v="Service Response"/>
    <s v="High"/>
    <b v="0"/>
  </r>
  <r>
    <s v="SCHED-003"/>
    <s v="EMP-003"/>
    <d v="2026-06-01T00:00:00"/>
    <s v="Day"/>
    <n v="8"/>
    <x v="0"/>
    <s v="Inventory Support"/>
    <s v="High"/>
    <b v="0"/>
  </r>
  <r>
    <s v="SCHED-004"/>
    <s v="EMP-004"/>
    <d v="2026-06-01T00:00:00"/>
    <s v="Evening"/>
    <n v="8"/>
    <x v="0"/>
    <s v="Inventory Support"/>
    <s v="Moderate"/>
    <b v="0"/>
  </r>
  <r>
    <s v="SCHED-005"/>
    <s v="EMP-005"/>
    <d v="2026-06-01T00:00:00"/>
    <s v="Day"/>
    <n v="8"/>
    <x v="0"/>
    <s v="Vendor Operations"/>
    <s v="High"/>
    <b v="0"/>
  </r>
  <r>
    <s v="SCHED-006"/>
    <s v="EMP-006"/>
    <d v="2026-06-01T00:00:00"/>
    <s v="Day"/>
    <n v="8"/>
    <x v="0"/>
    <s v="Vendor Operations"/>
    <s v="Moderate"/>
    <b v="0"/>
  </r>
  <r>
    <s v="SCHED-007"/>
    <s v="EMP-007"/>
    <d v="2026-06-01T00:00:00"/>
    <s v="Day"/>
    <n v="8"/>
    <x v="0"/>
    <s v="Escalation Support"/>
    <s v="High"/>
    <b v="0"/>
  </r>
  <r>
    <s v="SCHED-008"/>
    <s v="EMP-008"/>
    <d v="2026-06-01T00:00:00"/>
    <s v="Evening"/>
    <n v="8"/>
    <x v="0"/>
    <s v="Escalation Support"/>
    <s v="Moderate"/>
    <b v="0"/>
  </r>
  <r>
    <s v="SCHED-009"/>
    <s v="EMP-009"/>
    <d v="2026-06-01T00:00:00"/>
    <s v="Day"/>
    <n v="8"/>
    <x v="0"/>
    <s v="Service Response"/>
    <s v="Moderate"/>
    <b v="0"/>
  </r>
  <r>
    <s v="SCHED-010"/>
    <s v="EMP-010"/>
    <d v="2026-06-01T00:00:00"/>
    <s v="Day"/>
    <n v="8"/>
    <x v="0"/>
    <s v="Inventory Support"/>
    <s v="Moderate"/>
    <b v="0"/>
  </r>
  <r>
    <s v="SCHED-011"/>
    <s v="EMP-011"/>
    <d v="2026-06-01T00:00:00"/>
    <s v="Evening"/>
    <n v="8"/>
    <x v="0"/>
    <s v="Vendor Operations"/>
    <s v="Moderate"/>
    <b v="0"/>
  </r>
  <r>
    <s v="SCHED-012"/>
    <s v="EMP-012"/>
    <d v="2026-06-01T00:00:00"/>
    <s v="Variable"/>
    <n v="6"/>
    <x v="0"/>
    <s v="Cross-Team Support"/>
    <s v="High"/>
    <b v="1"/>
  </r>
  <r>
    <s v="SCHED-013"/>
    <s v="EMP-013"/>
    <d v="2026-06-01T00:00:00"/>
    <s v="Variable"/>
    <n v="6"/>
    <x v="1"/>
    <s v="Cross-Team Support"/>
    <s v="High"/>
    <b v="1"/>
  </r>
  <r>
    <s v="SCHED-014"/>
    <s v="EMP-014"/>
    <d v="2026-06-01T00:00:00"/>
    <s v="Evening"/>
    <n v="8"/>
    <x v="0"/>
    <s v="Service Response"/>
    <s v="Low"/>
    <b v="0"/>
  </r>
  <r>
    <s v="SCHED-015"/>
    <s v="EMP-015"/>
    <d v="2026-06-01T00:00:00"/>
    <s v="Day"/>
    <n v="8"/>
    <x v="0"/>
    <s v="Inventory Support"/>
    <s v="Low"/>
    <b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WORK-001"/>
    <s v="EMP-001"/>
    <d v="2026-06-01T00:00:00"/>
    <n v="42"/>
    <n v="38"/>
    <n v="4"/>
    <n v="25"/>
    <n v="28"/>
    <x v="0"/>
    <n v="70"/>
  </r>
  <r>
    <s v="WORK-002"/>
    <s v="EMP-002"/>
    <d v="2026-06-01T00:00:00"/>
    <n v="58"/>
    <n v="49"/>
    <n v="9"/>
    <n v="30"/>
    <n v="37"/>
    <x v="1"/>
    <n v="93"/>
  </r>
  <r>
    <s v="WORK-003"/>
    <s v="EMP-003"/>
    <d v="2026-06-01T00:00:00"/>
    <n v="44"/>
    <n v="41"/>
    <n v="3"/>
    <n v="25"/>
    <n v="29"/>
    <x v="0"/>
    <n v="73"/>
  </r>
  <r>
    <s v="WORK-004"/>
    <s v="EMP-004"/>
    <d v="2026-06-01T00:00:00"/>
    <n v="51"/>
    <n v="43"/>
    <n v="8"/>
    <n v="30"/>
    <n v="35"/>
    <x v="1"/>
    <n v="88"/>
  </r>
  <r>
    <s v="WORK-005"/>
    <s v="EMP-005"/>
    <d v="2026-06-01T00:00:00"/>
    <n v="36"/>
    <n v="34"/>
    <n v="2"/>
    <n v="20"/>
    <n v="22"/>
    <x v="0"/>
    <n v="55"/>
  </r>
  <r>
    <s v="WORK-006"/>
    <s v="EMP-006"/>
    <d v="2026-06-01T00:00:00"/>
    <n v="41"/>
    <n v="39"/>
    <n v="2"/>
    <n v="25"/>
    <n v="27"/>
    <x v="0"/>
    <n v="68"/>
  </r>
  <r>
    <s v="WORK-007"/>
    <s v="EMP-007"/>
    <d v="2026-06-01T00:00:00"/>
    <n v="63"/>
    <n v="55"/>
    <n v="8"/>
    <n v="30"/>
    <n v="39"/>
    <x v="1"/>
    <n v="98"/>
  </r>
  <r>
    <s v="WORK-008"/>
    <s v="EMP-008"/>
    <d v="2026-06-01T00:00:00"/>
    <n v="31"/>
    <n v="28"/>
    <n v="3"/>
    <n v="20"/>
    <n v="23"/>
    <x v="0"/>
    <n v="72"/>
  </r>
  <r>
    <s v="WORK-009"/>
    <s v="EMP-009"/>
    <d v="2026-06-01T00:00:00"/>
    <n v="29"/>
    <n v="26"/>
    <n v="3"/>
    <n v="20"/>
    <n v="21"/>
    <x v="0"/>
    <n v="66"/>
  </r>
  <r>
    <s v="WORK-010"/>
    <s v="EMP-010"/>
    <d v="2026-06-01T00:00:00"/>
    <n v="27"/>
    <n v="24"/>
    <n v="3"/>
    <n v="20"/>
    <n v="19"/>
    <x v="2"/>
    <n v="48"/>
  </r>
  <r>
    <s v="WORK-011"/>
    <s v="EMP-011"/>
    <d v="2026-06-01T00:00:00"/>
    <n v="24"/>
    <n v="22"/>
    <n v="2"/>
    <n v="20"/>
    <n v="18"/>
    <x v="2"/>
    <n v="45"/>
  </r>
  <r>
    <s v="WORK-012"/>
    <s v="EMP-012"/>
    <d v="2026-06-01T00:00:00"/>
    <n v="35"/>
    <n v="30"/>
    <n v="5"/>
    <n v="20"/>
    <n v="26"/>
    <x v="0"/>
    <n v="65"/>
  </r>
  <r>
    <s v="WORK-013"/>
    <s v="EMP-013"/>
    <d v="2026-06-01T00:00:00"/>
    <n v="0"/>
    <n v="0"/>
    <n v="0"/>
    <n v="0"/>
    <n v="0"/>
    <x v="3"/>
    <n v="0"/>
  </r>
  <r>
    <s v="WORK-014"/>
    <s v="EMP-014"/>
    <d v="2026-06-01T00:00:00"/>
    <n v="18"/>
    <n v="16"/>
    <n v="2"/>
    <n v="15"/>
    <n v="13"/>
    <x v="2"/>
    <n v="41"/>
  </r>
  <r>
    <s v="WORK-015"/>
    <s v="EMP-015"/>
    <d v="2026-06-01T00:00:00"/>
    <n v="22"/>
    <n v="20"/>
    <n v="2"/>
    <n v="15"/>
    <n v="14"/>
    <x v="2"/>
    <n v="4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ASSIGN-001"/>
    <s v="EMP-001"/>
    <s v="Ticket Queue Coordination"/>
    <x v="0"/>
    <s v="High"/>
    <n v="15"/>
    <s v="Active"/>
    <d v="2026-06-01T00:00:00"/>
    <s v=""/>
    <b v="0"/>
  </r>
  <r>
    <s v="ASSIGN-002"/>
    <s v="EMP-001"/>
    <s v="Escalation Review Support"/>
    <x v="1"/>
    <s v="Moderate"/>
    <n v="10"/>
    <s v="Active"/>
    <d v="2026-06-01T00:00:00"/>
    <s v=""/>
    <b v="1"/>
  </r>
  <r>
    <s v="ASSIGN-003"/>
    <s v="EMP-002"/>
    <s v="Ticket Resolution Processing"/>
    <x v="0"/>
    <s v="High"/>
    <n v="30"/>
    <s v="Active"/>
    <d v="2026-06-01T00:00:00"/>
    <s v=""/>
    <b v="0"/>
  </r>
  <r>
    <s v="ASSIGN-004"/>
    <s v="EMP-003"/>
    <s v="Inventory Replenishment Coordination"/>
    <x v="2"/>
    <s v="High"/>
    <n v="25"/>
    <s v="Active"/>
    <d v="2026-06-01T00:00:00"/>
    <s v=""/>
    <b v="0"/>
  </r>
  <r>
    <s v="ASSIGN-005"/>
    <s v="EMP-003"/>
    <s v="Inventory Shortage Review"/>
    <x v="2"/>
    <s v="Moderate"/>
    <n v="10"/>
    <s v="Active"/>
    <d v="2026-06-01T00:00:00"/>
    <s v=""/>
    <b v="0"/>
  </r>
  <r>
    <s v="ASSIGN-006"/>
    <s v="EMP-004"/>
    <s v="Inventory Reconciliation"/>
    <x v="2"/>
    <s v="High"/>
    <n v="30"/>
    <s v="Active"/>
    <d v="2026-06-01T00:00:00"/>
    <s v=""/>
    <b v="0"/>
  </r>
  <r>
    <s v="ASSIGN-007"/>
    <s v="EMP-005"/>
    <s v="Vendor Performance Monitoring"/>
    <x v="3"/>
    <s v="High"/>
    <n v="20"/>
    <s v="Active"/>
    <d v="2026-06-01T00:00:00"/>
    <s v=""/>
    <b v="0"/>
  </r>
  <r>
    <s v="ASSIGN-008"/>
    <s v="EMP-005"/>
    <s v="Corrective Action Follow-Up"/>
    <x v="3"/>
    <s v="Moderate"/>
    <n v="10"/>
    <s v="Active"/>
    <d v="2026-06-01T00:00:00"/>
    <s v=""/>
    <b v="1"/>
  </r>
  <r>
    <s v="ASSIGN-009"/>
    <s v="EMP-006"/>
    <s v="SLA Compliance Monitoring"/>
    <x v="3"/>
    <s v="High"/>
    <n v="25"/>
    <s v="Active"/>
    <d v="2026-06-01T00:00:00"/>
    <s v=""/>
    <b v="0"/>
  </r>
  <r>
    <s v="ASSIGN-010"/>
    <s v="EMP-007"/>
    <s v="Operational Escalation Management"/>
    <x v="1"/>
    <s v="Critical"/>
    <n v="30"/>
    <s v="Active"/>
    <d v="2026-06-01T00:00:00"/>
    <s v=""/>
    <b v="1"/>
  </r>
  <r>
    <s v="ASSIGN-011"/>
    <s v="EMP-008"/>
    <s v="Escalation Queue Support"/>
    <x v="1"/>
    <s v="High"/>
    <n v="20"/>
    <s v="Active"/>
    <d v="2026-06-01T00:00:00"/>
    <s v=""/>
    <b v="1"/>
  </r>
  <r>
    <s v="ASSIGN-012"/>
    <s v="EMP-009"/>
    <s v="Ticket Queue Support"/>
    <x v="0"/>
    <s v="Moderate"/>
    <n v="20"/>
    <s v="Active"/>
    <d v="2026-06-01T00:00:00"/>
    <s v=""/>
    <b v="0"/>
  </r>
  <r>
    <s v="ASSIGN-013"/>
    <s v="EMP-010"/>
    <s v="Inventory Count Support"/>
    <x v="2"/>
    <s v="Moderate"/>
    <n v="20"/>
    <s v="Active"/>
    <d v="2026-06-01T00:00:00"/>
    <s v=""/>
    <b v="0"/>
  </r>
  <r>
    <s v="ASSIGN-014"/>
    <s v="EMP-011"/>
    <s v="Vendor Corrective Action Tracking"/>
    <x v="3"/>
    <s v="Moderate"/>
    <n v="20"/>
    <s v="Active"/>
    <d v="2026-06-01T00:00:00"/>
    <s v=""/>
    <b v="0"/>
  </r>
  <r>
    <s v="ASSIGN-015"/>
    <s v="EMP-012"/>
    <s v="Cross-Team Coverage Support"/>
    <x v="4"/>
    <s v="High"/>
    <n v="20"/>
    <s v="Active"/>
    <d v="2026-06-01T00:00:00"/>
    <s v=""/>
    <b v="1"/>
  </r>
  <r>
    <s v="ASSIGN-016"/>
    <s v="EMP-013"/>
    <s v="Cross-Team Coverage Support"/>
    <x v="4"/>
    <s v="High"/>
    <n v="20"/>
    <s v="Suspended"/>
    <d v="2026-06-01T00:00:00"/>
    <s v=""/>
    <b v="1"/>
  </r>
  <r>
    <s v="ASSIGN-017"/>
    <s v="EMP-014"/>
    <s v="Ticket Queue Support"/>
    <x v="0"/>
    <s v="Low"/>
    <n v="15"/>
    <s v="Active"/>
    <d v="2026-06-01T00:00:00"/>
    <s v=""/>
    <b v="0"/>
  </r>
  <r>
    <s v="ASSIGN-018"/>
    <s v="EMP-015"/>
    <s v="Inventory Count Support"/>
    <x v="2"/>
    <s v="Low"/>
    <n v="15"/>
    <s v="Active"/>
    <d v="2026-06-01T00:00:00"/>
    <s v=""/>
    <b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WF-ESC-001"/>
    <d v="2026-06-02T00:00:00"/>
    <s v="Operations"/>
    <s v="Staffing Shortage"/>
    <x v="0"/>
    <s v="Service Response"/>
    <s v="Employee Leave"/>
    <s v="Open"/>
    <s v="Operations Manager"/>
    <s v="Increased Ticket Backlog"/>
  </r>
  <r>
    <s v="WF-ESC-002"/>
    <d v="2026-06-03T00:00:00"/>
    <s v="Operations"/>
    <s v="Coverage Gap"/>
    <x v="1"/>
    <s v="Coverage Support"/>
    <s v="Unfilled Shift"/>
    <s v="Monitoring"/>
    <s v="Workforce Coordinator"/>
    <s v="Reduced Scheduling Flexibility"/>
  </r>
  <r>
    <s v="WF-ESC-003"/>
    <d v="2026-06-04T00:00:00"/>
    <s v="Operations"/>
    <s v="Workload Imbalance"/>
    <x v="1"/>
    <s v="Inventory Support"/>
    <s v="Uneven Task Distribution"/>
    <s v="In Progress"/>
    <s v="Inventory Manager"/>
    <s v="Delayed Inventory Processing"/>
  </r>
  <r>
    <s v="WF-ESC-004"/>
    <d v="2026-06-05T00:00:00"/>
    <s v="Vendor Management"/>
    <s v="Capacity Constraint"/>
    <x v="0"/>
    <s v="Vendor Operations"/>
    <s v="Increased Vendor Activity"/>
    <s v="In Progress"/>
    <s v="Vendor Manager"/>
    <s v="SLA Monitoring Delays"/>
  </r>
  <r>
    <s v="WF-ESC-005"/>
    <d v="2026-06-05T00:00:00"/>
    <s v="Operations"/>
    <s v="Escalation Queue Backlog"/>
    <x v="2"/>
    <s v="Escalation Support"/>
    <s v="High Incident Volume"/>
    <s v="Open"/>
    <s v="Operations Manager"/>
    <s v="Extended Resolution Times"/>
  </r>
  <r>
    <s v="WF-ESC-006"/>
    <d v="2026-06-06T00:00:00"/>
    <s v="Operations"/>
    <s v="Cross-Team Support Request"/>
    <x v="3"/>
    <s v="Coverage Support"/>
    <s v="Temporary Resource Need"/>
    <s v="Resolved"/>
    <s v="Workforce Coordinator"/>
    <s v="Minimal Operational Impact"/>
  </r>
  <r>
    <s v="WF-ESC-007"/>
    <d v="2026-06-07T00:00:00"/>
    <s v="Operations"/>
    <s v="Staffing Shortage"/>
    <x v="0"/>
    <s v="Inventory Support"/>
    <s v="Employee Absence"/>
    <s v="Monitoring"/>
    <s v="Inventory Manager"/>
    <s v="Reduced Processing Capacity"/>
  </r>
  <r>
    <s v="WF-ESC-008"/>
    <d v="2026-06-08T00:00:00"/>
    <s v="Vendor Management"/>
    <s v="Workload Imbalance"/>
    <x v="1"/>
    <s v="Vendor Operations"/>
    <s v="Corrective Action Volume"/>
    <s v="In Progress"/>
    <s v="Vendor Manager"/>
    <s v="Delayed Follow-Up Activity"/>
  </r>
  <r>
    <s v="WF-ESC-009"/>
    <d v="2026-06-09T00:00:00"/>
    <s v="Operations"/>
    <s v="Coverage Gap"/>
    <x v="1"/>
    <s v="Service Response"/>
    <s v="Schedule Conflict"/>
    <s v="Resolved"/>
    <s v="Workforce Coordinator"/>
    <s v="Temporary Coverage Reduction"/>
  </r>
  <r>
    <s v="WF-ESC-010"/>
    <d v="2026-06-10T00:00:00"/>
    <s v="Operations"/>
    <s v="Capacity Constraint"/>
    <x v="0"/>
    <s v="Escalation Support"/>
    <s v="Sustained High Workload"/>
    <s v="Open"/>
    <s v="Operations Manager"/>
    <s v="Escalation Processing Delay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09833-7F9A-47A7-A2C0-E1C64275A4C6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verage Status">
  <location ref="D3:E5" firstHeaderRow="1" firstDataRow="1" firstDataCol="1"/>
  <pivotFields count="9">
    <pivotField dataField="1" showAll="0"/>
    <pivotField showAll="0"/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5"/>
  </rowFields>
  <rowItems count="2">
    <i>
      <x/>
    </i>
    <i>
      <x v="1"/>
    </i>
  </rowItems>
  <colItems count="1">
    <i/>
  </colItems>
  <dataFields count="1">
    <dataField name="Schedule Count" fld="0" subtotal="count" baseField="0" baseItem="0"/>
  </dataFields>
  <formats count="7">
    <format dxfId="44">
      <pivotArea field="5" type="button" dataOnly="0" labelOnly="1" outline="0" axis="axisRow" fieldPosition="0"/>
    </format>
    <format dxfId="43">
      <pivotArea dataOnly="0" labelOnly="1" outline="0" axis="axisValues" fieldPosition="0"/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5" type="button" dataOnly="0" labelOnly="1" outline="0" axis="axisRow" fieldPosition="0"/>
    </format>
    <format dxfId="39">
      <pivotArea dataOnly="0" labelOnly="1" fieldPosition="0">
        <references count="1">
          <reference field="5" count="0"/>
        </references>
      </pivotArea>
    </format>
    <format dxfId="3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F5D4A-9556-4EF8-8A79-43E16845365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Employment Status">
  <location ref="A3:B5" firstHeaderRow="1" firstDataRow="1" firstDataCol="1"/>
  <pivotFields count="11">
    <pivotField dataField="1"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2">
    <i>
      <x/>
    </i>
    <i>
      <x v="1"/>
    </i>
  </rowItems>
  <colItems count="1">
    <i/>
  </colItems>
  <dataFields count="1">
    <dataField name="Employee Count" fld="0" subtotal="count" baseField="0" baseItem="0"/>
  </dataFields>
  <formats count="12">
    <format dxfId="56">
      <pivotArea field="5" type="button" dataOnly="0" labelOnly="1" outline="0" axis="axisRow" fieldPosition="0"/>
    </format>
    <format dxfId="55">
      <pivotArea dataOnly="0" labelOnly="1" outline="0" axis="axisValues" fieldPosition="0"/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5" type="button" dataOnly="0" labelOnly="1" outline="0" axis="axisRow" fieldPosition="0"/>
    </format>
    <format dxfId="51">
      <pivotArea dataOnly="0" labelOnly="1" fieldPosition="0">
        <references count="1">
          <reference field="5" count="0"/>
        </references>
      </pivotArea>
    </format>
    <format dxfId="50">
      <pivotArea dataOnly="0" labelOnly="1" outline="0" axis="axisValues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5" type="button" dataOnly="0" labelOnly="1" outline="0" axis="axisRow" fieldPosition="0"/>
    </format>
    <format dxfId="46">
      <pivotArea dataOnly="0" labelOnly="1" fieldPosition="0">
        <references count="1">
          <reference field="5" count="0"/>
        </references>
      </pivotArea>
    </format>
    <format dxfId="4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BFC85-7DC6-40C1-B399-89721F75A102}" name="PivotTable5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everity Level">
  <location ref="A32:B36" firstHeaderRow="1" firstDataRow="1" firstDataCol="1"/>
  <pivotFields count="10">
    <pivotField dataField="1" showAll="0"/>
    <pivotField numFmtId="14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Escalation Count" fld="0" subtotal="count" baseField="0" baseItem="0"/>
  </dataFields>
  <formats count="7">
    <format dxfId="63">
      <pivotArea field="4" type="button" dataOnly="0" labelOnly="1" outline="0" axis="axisRow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4" type="button" dataOnly="0" labelOnly="1" outline="0" axis="axisRow" fieldPosition="0"/>
    </format>
    <format dxfId="58">
      <pivotArea dataOnly="0" labelOnly="1" fieldPosition="0">
        <references count="1">
          <reference field="4" count="0"/>
        </references>
      </pivotArea>
    </format>
    <format dxfId="5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31937F-FAF4-43F2-BEF3-371B45F8DB19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Assignment Category">
  <location ref="D15:E20" firstHeaderRow="1" firstDataRow="1" firstDataCol="1"/>
  <pivotFields count="10">
    <pivotField dataField="1" showAll="0"/>
    <pivotField showAll="0"/>
    <pivotField showAll="0"/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numFmtId="14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Assignment Count" fld="0" subtotal="count" baseField="0" baseItem="0"/>
  </dataFields>
  <formats count="7">
    <format dxfId="70">
      <pivotArea field="3" type="button" dataOnly="0" labelOnly="1" outline="0" axis="axisRow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3" type="button" dataOnly="0" labelOnly="1" outline="0" axis="axisRow" fieldPosition="0"/>
    </format>
    <format dxfId="65">
      <pivotArea dataOnly="0" labelOnly="1" fieldPosition="0">
        <references count="1">
          <reference field="3" count="0"/>
        </references>
      </pivotArea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CF044-49AE-4BC1-896C-D9D5A70BAC65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Workload Status">
  <location ref="A16:B20" firstHeaderRow="1" firstDataRow="1" firstDataCol="1"/>
  <pivotFields count="10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>
      <x v="3"/>
    </i>
  </rowItems>
  <colItems count="1">
    <i/>
  </colItems>
  <dataFields count="1">
    <dataField name="Employee Count" fld="0" subtotal="count" baseField="0" baseItem="0"/>
  </dataFields>
  <formats count="7">
    <format dxfId="77">
      <pivotArea field="8" type="button" dataOnly="0" labelOnly="1" outline="0" axis="axisRow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8" type="button" dataOnly="0" labelOnly="1" outline="0" axis="axisRow" fieldPosition="0"/>
    </format>
    <format dxfId="72">
      <pivotArea dataOnly="0" labelOnly="1" fieldPosition="0">
        <references count="1">
          <reference field="8" count="0"/>
        </references>
      </pivotArea>
    </format>
    <format dxfId="7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E2B7B03-A3D1-46FA-A811-3631786BE365}" autoFormatId="16" applyNumberFormats="0" applyBorderFormats="0" applyFontFormats="0" applyPatternFormats="0" applyAlignmentFormats="0" applyWidthHeightFormats="0">
  <queryTableRefresh nextId="12">
    <queryTableFields count="11">
      <queryTableField id="1" name="employee_id" tableColumnId="1"/>
      <queryTableField id="2" name="employee_name" tableColumnId="2"/>
      <queryTableField id="3" name="department" tableColumnId="3"/>
      <queryTableField id="4" name="team" tableColumnId="4"/>
      <queryTableField id="5" name="role" tableColumnId="5"/>
      <queryTableField id="6" name="employment_status" tableColumnId="6"/>
      <queryTableField id="7" name="primary_shift" tableColumnId="7"/>
      <queryTableField id="8" name="standard_weekly_hours" tableColumnId="8"/>
      <queryTableField id="9" name="skill_area" tableColumnId="9"/>
      <queryTableField id="10" name="coverage_priority" tableColumnId="10"/>
      <queryTableField id="11" name="active_flag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CC6199-7DD5-4661-A67B-3F06D38E2B94}" autoFormatId="16" applyNumberFormats="0" applyBorderFormats="0" applyFontFormats="0" applyPatternFormats="0" applyAlignmentFormats="0" applyWidthHeightFormats="0">
  <queryTableRefresh nextId="11">
    <queryTableFields count="10">
      <queryTableField id="1" name="assignment_id" tableColumnId="1"/>
      <queryTableField id="2" name="employee_id" tableColumnId="2"/>
      <queryTableField id="3" name="assignment_name" tableColumnId="3"/>
      <queryTableField id="4" name="assignment_category" tableColumnId="4"/>
      <queryTableField id="5" name="priority_level" tableColumnId="5"/>
      <queryTableField id="6" name="estimated_hours_per_week" tableColumnId="6"/>
      <queryTableField id="7" name="assignment_status" tableColumnId="7"/>
      <queryTableField id="8" name="start_date" tableColumnId="8"/>
      <queryTableField id="9" name="end_date" tableColumnId="9"/>
      <queryTableField id="10" name="cross_functional_flag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84431BC-618E-4881-B607-78D86975C594}" autoFormatId="16" applyNumberFormats="0" applyBorderFormats="0" applyFontFormats="0" applyPatternFormats="0" applyAlignmentFormats="0" applyWidthHeightFormats="0">
  <queryTableRefresh nextId="10">
    <queryTableFields count="9">
      <queryTableField id="1" name="schedule_id" tableColumnId="1"/>
      <queryTableField id="2" name="employee_id" tableColumnId="2"/>
      <queryTableField id="3" name="schedule_date" tableColumnId="3"/>
      <queryTableField id="4" name="shift_type" tableColumnId="4"/>
      <queryTableField id="5" name="scheduled_hours" tableColumnId="5"/>
      <queryTableField id="6" name="coverage_status" tableColumnId="6"/>
      <queryTableField id="7" name="coverage_area" tableColumnId="7"/>
      <queryTableField id="8" name="coverage_priority" tableColumnId="8"/>
      <queryTableField id="9" name="backup_required_flag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7A4A38B-8F78-4AB6-B0AE-9941C511448A}" autoFormatId="16" applyNumberFormats="0" applyBorderFormats="0" applyFontFormats="0" applyPatternFormats="0" applyAlignmentFormats="0" applyWidthHeightFormats="0">
  <queryTableRefresh nextId="11">
    <queryTableFields count="10">
      <queryTableField id="1" name="workload_id" tableColumnId="1"/>
      <queryTableField id="2" name="employee_id" tableColumnId="2"/>
      <queryTableField id="3" name="reporting_period" tableColumnId="3"/>
      <queryTableField id="4" name="assigned_tasks" tableColumnId="4"/>
      <queryTableField id="5" name="completed_tasks" tableColumnId="5"/>
      <queryTableField id="6" name="open_tasks" tableColumnId="6"/>
      <queryTableField id="7" name="estimated_hours" tableColumnId="7"/>
      <queryTableField id="8" name="actual_hours" tableColumnId="8"/>
      <queryTableField id="9" name="workload_status" tableColumnId="9"/>
      <queryTableField id="10" name="capacity_utilization_percent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8802BC66-5E8C-43DD-B6F7-90E0A5CC5D28}" autoFormatId="16" applyNumberFormats="0" applyBorderFormats="0" applyFontFormats="0" applyPatternFormats="0" applyAlignmentFormats="0" applyWidthHeightFormats="0">
  <queryTableRefresh nextId="11">
    <queryTableFields count="10">
      <queryTableField id="1" name="escalation_id" tableColumnId="1"/>
      <queryTableField id="2" name="escalation_date" tableColumnId="2"/>
      <queryTableField id="3" name="department" tableColumnId="3"/>
      <queryTableField id="4" name="escalation_type" tableColumnId="4"/>
      <queryTableField id="5" name="severity_level" tableColumnId="5"/>
      <queryTableField id="6" name="affected_team" tableColumnId="6"/>
      <queryTableField id="7" name="root_cause" tableColumnId="7"/>
      <queryTableField id="8" name="current_status" tableColumnId="8"/>
      <queryTableField id="9" name="resolution_owner" tableColumnId="9"/>
      <queryTableField id="10" name="business_impact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D0E9C5-0C9A-4298-8B5D-C4F356ED0918}" name="workforce_roster" displayName="workforce_roster" ref="A1:K16" tableType="queryTable" totalsRowShown="0">
  <autoFilter ref="A1:K16" xr:uid="{28D0E9C5-0C9A-4298-8B5D-C4F356ED0918}"/>
  <tableColumns count="11">
    <tableColumn id="1" xr3:uid="{B1E5DBE9-D081-49F2-BFBB-270531D33117}" uniqueName="1" name="employee_id" queryTableFieldId="1" dataDxfId="37"/>
    <tableColumn id="2" xr3:uid="{70394D03-6E5A-4355-8597-9E2F650D2055}" uniqueName="2" name="employee_name" queryTableFieldId="2" dataDxfId="36"/>
    <tableColumn id="3" xr3:uid="{45BECED9-5483-4FED-A145-5212A4FA6A2A}" uniqueName="3" name="department" queryTableFieldId="3" dataDxfId="35"/>
    <tableColumn id="4" xr3:uid="{DB7698C6-2ED9-47A0-9829-B7C6180B4B3E}" uniqueName="4" name="team" queryTableFieldId="4" dataDxfId="34"/>
    <tableColumn id="5" xr3:uid="{1B3AE4CA-6A7C-4541-8ECC-423FC997AAC5}" uniqueName="5" name="role" queryTableFieldId="5" dataDxfId="33"/>
    <tableColumn id="6" xr3:uid="{2E49B599-7361-477C-BAB5-3A7941FB6EA8}" uniqueName="6" name="employment_status" queryTableFieldId="6" dataDxfId="32"/>
    <tableColumn id="7" xr3:uid="{905DC74A-F49C-41F6-89E1-C0E3D320DD8A}" uniqueName="7" name="primary_shift" queryTableFieldId="7" dataDxfId="31"/>
    <tableColumn id="8" xr3:uid="{CC101F0E-C3E4-4EF8-A23A-4C26181BD64E}" uniqueName="8" name="standard_weekly_hours" queryTableFieldId="8"/>
    <tableColumn id="9" xr3:uid="{972A0E7D-0285-4CF6-B426-10503BF935AD}" uniqueName="9" name="skill_area" queryTableFieldId="9" dataDxfId="30"/>
    <tableColumn id="10" xr3:uid="{24A5648F-249D-4EB2-8846-68BA2652B253}" uniqueName="10" name="coverage_priority" queryTableFieldId="10" dataDxfId="29"/>
    <tableColumn id="11" xr3:uid="{23223742-FA95-4E92-86BE-4C4F7BA7CDE7}" uniqueName="11" name="active_flag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109FD8-DDC8-451E-9F87-60E6720131BC}" name="workforce_assignments" displayName="workforce_assignments" ref="A1:J19" tableType="queryTable" totalsRowShown="0">
  <autoFilter ref="A1:J19" xr:uid="{D6109FD8-DDC8-451E-9F87-60E6720131BC}"/>
  <tableColumns count="10">
    <tableColumn id="1" xr3:uid="{FAC65B11-282E-49CC-98B9-B10E0FC1CF06}" uniqueName="1" name="assignment_id" queryTableFieldId="1" dataDxfId="28"/>
    <tableColumn id="2" xr3:uid="{7B78F601-6236-4868-8C55-473BE85D30C0}" uniqueName="2" name="employee_id" queryTableFieldId="2" dataDxfId="27"/>
    <tableColumn id="3" xr3:uid="{10B3E38B-96FC-4E3F-B2C7-DEC872AAF9AB}" uniqueName="3" name="assignment_name" queryTableFieldId="3" dataDxfId="26"/>
    <tableColumn id="4" xr3:uid="{F523C83C-B57E-459D-AA0A-184EF3BBB6D5}" uniqueName="4" name="assignment_category" queryTableFieldId="4" dataDxfId="25"/>
    <tableColumn id="5" xr3:uid="{E90BEE2E-42E4-46F8-8FC0-300DFC342FD1}" uniqueName="5" name="priority_level" queryTableFieldId="5" dataDxfId="24"/>
    <tableColumn id="6" xr3:uid="{E3A58A66-A5E2-4252-87BC-6DC6CD26F54B}" uniqueName="6" name="estimated_hours_per_week" queryTableFieldId="6"/>
    <tableColumn id="7" xr3:uid="{69C5ED81-3977-4A85-B043-F3BA7D17E91A}" uniqueName="7" name="assignment_status" queryTableFieldId="7" dataDxfId="23"/>
    <tableColumn id="8" xr3:uid="{6D33731A-A112-44FC-9777-A4DBA62F1AF2}" uniqueName="8" name="start_date" queryTableFieldId="8" dataDxfId="22"/>
    <tableColumn id="9" xr3:uid="{F09DC60A-C70D-4D89-898D-837DE81A6920}" uniqueName="9" name="end_date" queryTableFieldId="9" dataDxfId="21"/>
    <tableColumn id="10" xr3:uid="{0CABD09B-16FA-486E-B73A-8C64A8A6B8BB}" uniqueName="10" name="cross_functional_flag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17C32D-F90A-4FD6-971D-EB85F20D7B53}" name="workforce_coverage_schedule" displayName="workforce_coverage_schedule" ref="A1:I16" tableType="queryTable" totalsRowShown="0">
  <autoFilter ref="A1:I16" xr:uid="{B217C32D-F90A-4FD6-971D-EB85F20D7B53}"/>
  <tableColumns count="9">
    <tableColumn id="1" xr3:uid="{8E76C4DC-3B36-4B63-BA80-0F8C2EAEE588}" uniqueName="1" name="schedule_id" queryTableFieldId="1" dataDxfId="20"/>
    <tableColumn id="2" xr3:uid="{F4874B04-55D0-49E7-9D07-6EB38014C7A3}" uniqueName="2" name="employee_id" queryTableFieldId="2" dataDxfId="19"/>
    <tableColumn id="3" xr3:uid="{018EB5BB-8813-44B3-8433-1FA477DC09A8}" uniqueName="3" name="schedule_date" queryTableFieldId="3" dataDxfId="18"/>
    <tableColumn id="4" xr3:uid="{9AB35115-3DFB-430E-AAB3-E05534E13995}" uniqueName="4" name="shift_type" queryTableFieldId="4" dataDxfId="17"/>
    <tableColumn id="5" xr3:uid="{808987BD-648B-45DF-A6BD-CE631B3F7794}" uniqueName="5" name="scheduled_hours" queryTableFieldId="5"/>
    <tableColumn id="6" xr3:uid="{A133170C-D965-4698-86CE-AA62F11252A7}" uniqueName="6" name="coverage_status" queryTableFieldId="6" dataDxfId="16"/>
    <tableColumn id="7" xr3:uid="{C5F5A8C6-2F70-4C9A-A2AE-6E70E6653003}" uniqueName="7" name="coverage_area" queryTableFieldId="7" dataDxfId="15"/>
    <tableColumn id="8" xr3:uid="{7461D765-0298-431F-BD19-D7B2FBD29489}" uniqueName="8" name="coverage_priority" queryTableFieldId="8" dataDxfId="14"/>
    <tableColumn id="9" xr3:uid="{C1CE3C3F-28F0-4D81-8E35-405A2DD6878A}" uniqueName="9" name="backup_required_flag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522E48-E432-4D1D-972A-F8B1B1BAF747}" name="workforce_workload_distribution" displayName="workforce_workload_distribution" ref="A1:J16" tableType="queryTable" totalsRowShown="0">
  <autoFilter ref="A1:J16" xr:uid="{3C522E48-E432-4D1D-972A-F8B1B1BAF747}"/>
  <tableColumns count="10">
    <tableColumn id="1" xr3:uid="{747FF176-F85F-47D7-90BF-05EA5010F857}" uniqueName="1" name="workload_id" queryTableFieldId="1" dataDxfId="13"/>
    <tableColumn id="2" xr3:uid="{8533CD7B-BDED-46A1-99A8-3BCCBE18309D}" uniqueName="2" name="employee_id" queryTableFieldId="2" dataDxfId="12"/>
    <tableColumn id="3" xr3:uid="{022B56EA-7E85-4A97-AD75-A0816F604CD2}" uniqueName="3" name="reporting_period" queryTableFieldId="3" dataDxfId="11"/>
    <tableColumn id="4" xr3:uid="{CB557F16-CC03-473D-B768-C5B50F298EDF}" uniqueName="4" name="assigned_tasks" queryTableFieldId="4"/>
    <tableColumn id="5" xr3:uid="{A7101445-9E83-445F-BD5D-F7D3260F3E1D}" uniqueName="5" name="completed_tasks" queryTableFieldId="5"/>
    <tableColumn id="6" xr3:uid="{66CE1AF9-8946-45B7-99A8-A9AB643B4A61}" uniqueName="6" name="open_tasks" queryTableFieldId="6"/>
    <tableColumn id="7" xr3:uid="{985A95F2-AB84-407D-BCA1-1046EF5C3953}" uniqueName="7" name="estimated_hours" queryTableFieldId="7"/>
    <tableColumn id="8" xr3:uid="{270712A4-9989-4ED0-8C4B-FB4B8DBCD5F2}" uniqueName="8" name="actual_hours" queryTableFieldId="8"/>
    <tableColumn id="9" xr3:uid="{0633C0EA-F67F-498E-B7A1-3DB81EA176D7}" uniqueName="9" name="workload_status" queryTableFieldId="9" dataDxfId="10"/>
    <tableColumn id="10" xr3:uid="{8861C44C-F4E7-47E2-8FAD-F7EE1830C451}" uniqueName="10" name="capacity_utilization_percent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4F939F-000E-4124-82AB-4D1C89ADE59E}" name="workforce_escalations" displayName="workforce_escalations" ref="A1:J11" tableType="queryTable" totalsRowShown="0">
  <autoFilter ref="A1:J11" xr:uid="{294F939F-000E-4124-82AB-4D1C89ADE59E}"/>
  <tableColumns count="10">
    <tableColumn id="1" xr3:uid="{59321A9C-A83A-4A1A-B39E-6CBA084F1D44}" uniqueName="1" name="escalation_id" queryTableFieldId="1" dataDxfId="9"/>
    <tableColumn id="2" xr3:uid="{C88B08C2-7DF7-430D-BC99-F94E87C5E7CF}" uniqueName="2" name="escalation_date" queryTableFieldId="2" dataDxfId="8"/>
    <tableColumn id="3" xr3:uid="{24EE2447-2956-40CF-9F84-51335EDD74FF}" uniqueName="3" name="department" queryTableFieldId="3" dataDxfId="7"/>
    <tableColumn id="4" xr3:uid="{4A5E82ED-9C0D-4F12-A4BA-1EE493E84AC3}" uniqueName="4" name="escalation_type" queryTableFieldId="4" dataDxfId="6"/>
    <tableColumn id="5" xr3:uid="{00B86ADD-CC6F-493B-8587-1CB00C2BDD49}" uniqueName="5" name="severity_level" queryTableFieldId="5" dataDxfId="5"/>
    <tableColumn id="6" xr3:uid="{9FAC386F-E65A-433A-9F1C-ABE895C0B8C7}" uniqueName="6" name="affected_team" queryTableFieldId="6" dataDxfId="4"/>
    <tableColumn id="7" xr3:uid="{D26F03F3-9301-473F-99E4-612629E88AAD}" uniqueName="7" name="root_cause" queryTableFieldId="7" dataDxfId="3"/>
    <tableColumn id="8" xr3:uid="{E4FDEBC9-99DD-4AFF-9DF2-E856A4BB515C}" uniqueName="8" name="current_status" queryTableFieldId="8" dataDxfId="2"/>
    <tableColumn id="9" xr3:uid="{DB39767C-CD67-477F-84C6-531FEC63199D}" uniqueName="9" name="resolution_owner" queryTableFieldId="9" dataDxfId="1"/>
    <tableColumn id="10" xr3:uid="{11B75E70-4EE5-444A-8C56-C920D990CFFD}" uniqueName="10" name="business_impact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showGridLines="0" workbookViewId="0">
      <pane ySplit="8" topLeftCell="A9" activePane="bottomLeft" state="frozen"/>
      <selection pane="bottomLeft" activeCell="K15" sqref="K15"/>
    </sheetView>
  </sheetViews>
  <sheetFormatPr defaultRowHeight="15" x14ac:dyDescent="0.25"/>
  <sheetData>
    <row r="1" spans="1:2" ht="26.25" x14ac:dyDescent="0.4">
      <c r="A1" s="22" t="s">
        <v>261</v>
      </c>
      <c r="B1" s="22"/>
    </row>
    <row r="3" spans="1:2" ht="21" x14ac:dyDescent="0.35">
      <c r="A3" s="23" t="s">
        <v>283</v>
      </c>
    </row>
    <row r="4" spans="1:2" ht="21" x14ac:dyDescent="0.35">
      <c r="A4" s="23"/>
    </row>
    <row r="5" spans="1:2" ht="15.75" x14ac:dyDescent="0.25">
      <c r="A5" s="24" t="s">
        <v>269</v>
      </c>
    </row>
    <row r="7" spans="1:2" ht="15.75" x14ac:dyDescent="0.25">
      <c r="A7" s="24" t="s">
        <v>284</v>
      </c>
    </row>
    <row r="8" spans="1:2" s="25" customFormat="1" x14ac:dyDescent="0.25"/>
    <row r="11" spans="1:2" ht="18.75" x14ac:dyDescent="0.3">
      <c r="A11" s="26" t="s">
        <v>262</v>
      </c>
    </row>
    <row r="13" spans="1:2" x14ac:dyDescent="0.25">
      <c r="A13" t="s">
        <v>263</v>
      </c>
    </row>
    <row r="15" spans="1:2" x14ac:dyDescent="0.25">
      <c r="A15" t="s">
        <v>264</v>
      </c>
    </row>
    <row r="17" spans="1:1" x14ac:dyDescent="0.25">
      <c r="A17" t="s">
        <v>265</v>
      </c>
    </row>
    <row r="19" spans="1:1" x14ac:dyDescent="0.25">
      <c r="A19" t="s">
        <v>266</v>
      </c>
    </row>
    <row r="21" spans="1:1" x14ac:dyDescent="0.25">
      <c r="A21" t="s">
        <v>267</v>
      </c>
    </row>
    <row r="23" spans="1:1" x14ac:dyDescent="0.25">
      <c r="A23" t="s">
        <v>268</v>
      </c>
    </row>
    <row r="26" spans="1:1" s="27" customFormat="1" x14ac:dyDescent="0.25"/>
    <row r="28" spans="1:1" ht="18.75" x14ac:dyDescent="0.3">
      <c r="A28" s="26" t="s">
        <v>270</v>
      </c>
    </row>
    <row r="30" spans="1:1" x14ac:dyDescent="0.25">
      <c r="A30" t="s">
        <v>271</v>
      </c>
    </row>
    <row r="32" spans="1:1" x14ac:dyDescent="0.25">
      <c r="A32" t="s">
        <v>272</v>
      </c>
    </row>
    <row r="34" spans="1:1" x14ac:dyDescent="0.25">
      <c r="A34" t="s">
        <v>273</v>
      </c>
    </row>
    <row r="36" spans="1:1" x14ac:dyDescent="0.25">
      <c r="A36" t="s">
        <v>274</v>
      </c>
    </row>
    <row r="39" spans="1:1" s="27" customFormat="1" x14ac:dyDescent="0.25"/>
    <row r="41" spans="1:1" ht="18.75" x14ac:dyDescent="0.3">
      <c r="A41" s="26" t="s">
        <v>275</v>
      </c>
    </row>
    <row r="43" spans="1:1" x14ac:dyDescent="0.25">
      <c r="A43" t="s">
        <v>276</v>
      </c>
    </row>
    <row r="45" spans="1:1" x14ac:dyDescent="0.25">
      <c r="A45" t="s">
        <v>277</v>
      </c>
    </row>
    <row r="48" spans="1:1" s="27" customFormat="1" x14ac:dyDescent="0.25"/>
    <row r="50" spans="1:1" ht="18.75" x14ac:dyDescent="0.3">
      <c r="A50" s="26" t="s">
        <v>278</v>
      </c>
    </row>
    <row r="52" spans="1:1" x14ac:dyDescent="0.25">
      <c r="A52" t="s">
        <v>279</v>
      </c>
    </row>
    <row r="54" spans="1:1" x14ac:dyDescent="0.25">
      <c r="A54" t="s">
        <v>280</v>
      </c>
    </row>
    <row r="56" spans="1:1" x14ac:dyDescent="0.25">
      <c r="A56" t="s">
        <v>281</v>
      </c>
    </row>
    <row r="58" spans="1:1" x14ac:dyDescent="0.25">
      <c r="A58" t="s">
        <v>282</v>
      </c>
    </row>
    <row r="61" spans="1:1" s="27" customForma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68318-23DC-4FF8-9B22-D31B0E03A0AA}">
  <dimension ref="A2:F42"/>
  <sheetViews>
    <sheetView showGridLines="0" tabSelected="1" workbookViewId="0">
      <selection activeCell="A7" sqref="A7:B7"/>
    </sheetView>
  </sheetViews>
  <sheetFormatPr defaultRowHeight="15" x14ac:dyDescent="0.25"/>
  <cols>
    <col min="1" max="1" width="21.5703125" customWidth="1"/>
    <col min="2" max="2" width="18.7109375" customWidth="1"/>
    <col min="3" max="3" width="18.28515625" customWidth="1"/>
    <col min="4" max="4" width="27.5703125" customWidth="1"/>
    <col min="5" max="5" width="17.42578125" bestFit="1" customWidth="1"/>
  </cols>
  <sheetData>
    <row r="2" spans="1:5" ht="18.75" x14ac:dyDescent="0.3">
      <c r="A2" s="5" t="s">
        <v>236</v>
      </c>
      <c r="D2" s="5" t="s">
        <v>235</v>
      </c>
    </row>
    <row r="3" spans="1:5" x14ac:dyDescent="0.25">
      <c r="A3" s="9" t="s">
        <v>231</v>
      </c>
      <c r="B3" s="10" t="s">
        <v>234</v>
      </c>
      <c r="D3" s="9" t="s">
        <v>232</v>
      </c>
      <c r="E3" s="10" t="s">
        <v>233</v>
      </c>
    </row>
    <row r="4" spans="1:5" x14ac:dyDescent="0.25">
      <c r="A4" s="11" t="s">
        <v>16</v>
      </c>
      <c r="B4" s="12">
        <v>14</v>
      </c>
      <c r="D4" s="11" t="s">
        <v>134</v>
      </c>
      <c r="E4" s="12">
        <v>14</v>
      </c>
    </row>
    <row r="5" spans="1:5" x14ac:dyDescent="0.25">
      <c r="A5" s="13" t="s">
        <v>72</v>
      </c>
      <c r="B5" s="14">
        <v>1</v>
      </c>
      <c r="D5" s="13" t="s">
        <v>147</v>
      </c>
      <c r="E5" s="14">
        <v>1</v>
      </c>
    </row>
    <row r="7" spans="1:5" s="7" customFormat="1" ht="32.25" customHeight="1" x14ac:dyDescent="0.25">
      <c r="A7" s="28" t="s">
        <v>237</v>
      </c>
      <c r="B7" s="28"/>
      <c r="D7" s="28" t="s">
        <v>240</v>
      </c>
      <c r="E7" s="28"/>
    </row>
    <row r="8" spans="1:5" s="4" customFormat="1" x14ac:dyDescent="0.25">
      <c r="A8" s="3"/>
      <c r="D8" s="3"/>
    </row>
    <row r="9" spans="1:5" s="7" customFormat="1" ht="33.75" customHeight="1" x14ac:dyDescent="0.25">
      <c r="A9" s="28" t="s">
        <v>238</v>
      </c>
      <c r="B9" s="28"/>
      <c r="D9" s="28" t="s">
        <v>241</v>
      </c>
      <c r="E9" s="28"/>
    </row>
    <row r="10" spans="1:5" s="4" customFormat="1" x14ac:dyDescent="0.25">
      <c r="A10" s="3"/>
      <c r="D10" s="3"/>
    </row>
    <row r="11" spans="1:5" s="7" customFormat="1" ht="37.5" customHeight="1" x14ac:dyDescent="0.25">
      <c r="A11" s="28" t="s">
        <v>239</v>
      </c>
      <c r="B11" s="28"/>
      <c r="D11" s="28" t="s">
        <v>242</v>
      </c>
      <c r="E11" s="28"/>
    </row>
    <row r="12" spans="1:5" s="7" customFormat="1" ht="37.5" customHeight="1" x14ac:dyDescent="0.25">
      <c r="A12" s="6"/>
      <c r="B12" s="6"/>
      <c r="D12" s="6"/>
      <c r="E12" s="6"/>
    </row>
    <row r="14" spans="1:5" ht="18.75" x14ac:dyDescent="0.3">
      <c r="D14" s="5" t="s">
        <v>249</v>
      </c>
    </row>
    <row r="15" spans="1:5" ht="18.75" x14ac:dyDescent="0.3">
      <c r="A15" s="5" t="s">
        <v>243</v>
      </c>
      <c r="D15" s="9" t="s">
        <v>250</v>
      </c>
      <c r="E15" s="10" t="s">
        <v>251</v>
      </c>
    </row>
    <row r="16" spans="1:5" x14ac:dyDescent="0.25">
      <c r="A16" s="9" t="s">
        <v>244</v>
      </c>
      <c r="B16" s="10" t="s">
        <v>234</v>
      </c>
      <c r="D16" s="11" t="s">
        <v>90</v>
      </c>
      <c r="E16" s="12">
        <v>4</v>
      </c>
    </row>
    <row r="17" spans="1:6" x14ac:dyDescent="0.25">
      <c r="A17" s="11" t="s">
        <v>162</v>
      </c>
      <c r="B17" s="12">
        <v>3</v>
      </c>
      <c r="D17" s="11" t="s">
        <v>99</v>
      </c>
      <c r="E17" s="12">
        <v>5</v>
      </c>
    </row>
    <row r="18" spans="1:6" x14ac:dyDescent="0.25">
      <c r="A18" s="11" t="s">
        <v>160</v>
      </c>
      <c r="B18" s="12">
        <v>7</v>
      </c>
      <c r="D18" s="11" t="s">
        <v>37</v>
      </c>
      <c r="E18" s="12">
        <v>4</v>
      </c>
    </row>
    <row r="19" spans="1:6" x14ac:dyDescent="0.25">
      <c r="A19" s="11" t="s">
        <v>171</v>
      </c>
      <c r="B19" s="12">
        <v>4</v>
      </c>
      <c r="D19" s="11" t="s">
        <v>94</v>
      </c>
      <c r="E19" s="12">
        <v>3</v>
      </c>
    </row>
    <row r="20" spans="1:6" x14ac:dyDescent="0.25">
      <c r="A20" s="13" t="s">
        <v>175</v>
      </c>
      <c r="B20" s="14">
        <v>1</v>
      </c>
      <c r="D20" s="13" t="s">
        <v>121</v>
      </c>
      <c r="E20" s="14">
        <v>2</v>
      </c>
    </row>
    <row r="22" spans="1:6" s="6" customFormat="1" ht="38.25" customHeight="1" x14ac:dyDescent="0.25">
      <c r="A22" s="28" t="s">
        <v>245</v>
      </c>
      <c r="B22" s="28"/>
      <c r="D22" s="28" t="s">
        <v>252</v>
      </c>
      <c r="E22" s="28"/>
      <c r="F22" s="8"/>
    </row>
    <row r="23" spans="1:6" s="8" customFormat="1" x14ac:dyDescent="0.25">
      <c r="D23" s="6"/>
    </row>
    <row r="24" spans="1:6" s="6" customFormat="1" ht="47.25" customHeight="1" x14ac:dyDescent="0.25">
      <c r="A24" s="28" t="s">
        <v>246</v>
      </c>
      <c r="B24" s="28"/>
      <c r="D24" s="28" t="s">
        <v>253</v>
      </c>
      <c r="E24" s="28"/>
      <c r="F24" s="8"/>
    </row>
    <row r="25" spans="1:6" s="6" customFormat="1" x14ac:dyDescent="0.25">
      <c r="E25" s="8"/>
      <c r="F25" s="8"/>
    </row>
    <row r="26" spans="1:6" s="6" customFormat="1" ht="50.25" customHeight="1" x14ac:dyDescent="0.25">
      <c r="A26" s="28" t="s">
        <v>247</v>
      </c>
      <c r="B26" s="28"/>
      <c r="D26" s="28" t="s">
        <v>254</v>
      </c>
      <c r="E26" s="28"/>
      <c r="F26" s="8"/>
    </row>
    <row r="27" spans="1:6" s="6" customFormat="1" x14ac:dyDescent="0.25">
      <c r="D27" s="8"/>
      <c r="E27" s="8"/>
      <c r="F27" s="8"/>
    </row>
    <row r="28" spans="1:6" s="6" customFormat="1" ht="45" customHeight="1" x14ac:dyDescent="0.25">
      <c r="A28" s="28" t="s">
        <v>248</v>
      </c>
      <c r="B28" s="28"/>
      <c r="D28" s="8"/>
      <c r="E28" s="8"/>
      <c r="F28" s="8"/>
    </row>
    <row r="31" spans="1:6" ht="18.75" x14ac:dyDescent="0.3">
      <c r="A31" s="5" t="s">
        <v>255</v>
      </c>
    </row>
    <row r="32" spans="1:6" x14ac:dyDescent="0.25">
      <c r="A32" s="18" t="s">
        <v>256</v>
      </c>
      <c r="B32" s="18" t="s">
        <v>257</v>
      </c>
    </row>
    <row r="33" spans="1:2" x14ac:dyDescent="0.25">
      <c r="A33" s="19" t="s">
        <v>111</v>
      </c>
      <c r="B33" s="15">
        <v>1</v>
      </c>
    </row>
    <row r="34" spans="1:2" x14ac:dyDescent="0.25">
      <c r="A34" s="20" t="s">
        <v>19</v>
      </c>
      <c r="B34" s="16">
        <v>4</v>
      </c>
    </row>
    <row r="35" spans="1:2" x14ac:dyDescent="0.25">
      <c r="A35" s="20" t="s">
        <v>34</v>
      </c>
      <c r="B35" s="16">
        <v>4</v>
      </c>
    </row>
    <row r="36" spans="1:2" x14ac:dyDescent="0.25">
      <c r="A36" s="21" t="s">
        <v>75</v>
      </c>
      <c r="B36" s="17">
        <v>1</v>
      </c>
    </row>
    <row r="38" spans="1:2" s="2" customFormat="1" ht="36.75" customHeight="1" x14ac:dyDescent="0.25">
      <c r="A38" s="28" t="s">
        <v>258</v>
      </c>
      <c r="B38" s="28"/>
    </row>
    <row r="39" spans="1:2" s="2" customFormat="1" x14ac:dyDescent="0.25"/>
    <row r="40" spans="1:2" s="2" customFormat="1" ht="47.25" customHeight="1" x14ac:dyDescent="0.25">
      <c r="A40" s="28" t="s">
        <v>259</v>
      </c>
      <c r="B40" s="28"/>
    </row>
    <row r="41" spans="1:2" s="2" customFormat="1" x14ac:dyDescent="0.25"/>
    <row r="42" spans="1:2" s="2" customFormat="1" ht="63" customHeight="1" x14ac:dyDescent="0.25">
      <c r="A42" s="28" t="s">
        <v>260</v>
      </c>
      <c r="B42" s="28"/>
    </row>
  </sheetData>
  <mergeCells count="16">
    <mergeCell ref="D26:E26"/>
    <mergeCell ref="D24:E24"/>
    <mergeCell ref="D22:E22"/>
    <mergeCell ref="D7:E7"/>
    <mergeCell ref="A7:B7"/>
    <mergeCell ref="A9:B9"/>
    <mergeCell ref="A11:B11"/>
    <mergeCell ref="D11:E11"/>
    <mergeCell ref="D9:E9"/>
    <mergeCell ref="A38:B38"/>
    <mergeCell ref="A40:B40"/>
    <mergeCell ref="A42:B42"/>
    <mergeCell ref="A22:B22"/>
    <mergeCell ref="A24:B24"/>
    <mergeCell ref="A26:B26"/>
    <mergeCell ref="A28:B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2FA6-AC77-411B-901B-6B830D70EF9E}">
  <dimension ref="A1:K1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5" bestFit="1" customWidth="1"/>
    <col min="2" max="2" width="18.42578125" bestFit="1" customWidth="1"/>
    <col min="3" max="3" width="20" bestFit="1" customWidth="1"/>
    <col min="4" max="4" width="18.140625" bestFit="1" customWidth="1"/>
    <col min="5" max="5" width="24.28515625" bestFit="1" customWidth="1"/>
    <col min="6" max="6" width="21.28515625" bestFit="1" customWidth="1"/>
    <col min="7" max="7" width="15.140625" bestFit="1" customWidth="1"/>
    <col min="8" max="8" width="24.85546875" bestFit="1" customWidth="1"/>
    <col min="9" max="9" width="24.42578125" bestFit="1" customWidth="1"/>
    <col min="10" max="10" width="19" bestFit="1" customWidth="1"/>
    <col min="11" max="11" width="12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40</v>
      </c>
      <c r="I2" t="s">
        <v>18</v>
      </c>
      <c r="J2" t="s">
        <v>19</v>
      </c>
      <c r="K2" t="b">
        <v>1</v>
      </c>
    </row>
    <row r="3" spans="1:11" x14ac:dyDescent="0.25">
      <c r="A3" t="s">
        <v>20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>
        <v>40</v>
      </c>
      <c r="I3" t="s">
        <v>23</v>
      </c>
      <c r="J3" t="s">
        <v>19</v>
      </c>
      <c r="K3" t="b">
        <v>1</v>
      </c>
    </row>
    <row r="4" spans="1:11" x14ac:dyDescent="0.25">
      <c r="A4" t="s">
        <v>24</v>
      </c>
      <c r="B4" t="s">
        <v>25</v>
      </c>
      <c r="C4" t="s">
        <v>13</v>
      </c>
      <c r="D4" t="s">
        <v>26</v>
      </c>
      <c r="E4" t="s">
        <v>27</v>
      </c>
      <c r="F4" t="s">
        <v>16</v>
      </c>
      <c r="G4" t="s">
        <v>17</v>
      </c>
      <c r="H4">
        <v>40</v>
      </c>
      <c r="I4" t="s">
        <v>28</v>
      </c>
      <c r="J4" t="s">
        <v>19</v>
      </c>
      <c r="K4" t="b">
        <v>1</v>
      </c>
    </row>
    <row r="5" spans="1:11" x14ac:dyDescent="0.25">
      <c r="A5" t="s">
        <v>29</v>
      </c>
      <c r="B5" t="s">
        <v>30</v>
      </c>
      <c r="C5" t="s">
        <v>13</v>
      </c>
      <c r="D5" t="s">
        <v>26</v>
      </c>
      <c r="E5" t="s">
        <v>31</v>
      </c>
      <c r="F5" t="s">
        <v>16</v>
      </c>
      <c r="G5" t="s">
        <v>32</v>
      </c>
      <c r="H5">
        <v>40</v>
      </c>
      <c r="I5" t="s">
        <v>33</v>
      </c>
      <c r="J5" t="s">
        <v>34</v>
      </c>
      <c r="K5" t="b">
        <v>1</v>
      </c>
    </row>
    <row r="6" spans="1:11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16</v>
      </c>
      <c r="G6" t="s">
        <v>17</v>
      </c>
      <c r="H6">
        <v>40</v>
      </c>
      <c r="I6" t="s">
        <v>40</v>
      </c>
      <c r="J6" t="s">
        <v>19</v>
      </c>
      <c r="K6" t="b">
        <v>1</v>
      </c>
    </row>
    <row r="7" spans="1:11" x14ac:dyDescent="0.25">
      <c r="A7" t="s">
        <v>41</v>
      </c>
      <c r="B7" t="s">
        <v>42</v>
      </c>
      <c r="C7" t="s">
        <v>37</v>
      </c>
      <c r="D7" t="s">
        <v>38</v>
      </c>
      <c r="E7" t="s">
        <v>43</v>
      </c>
      <c r="F7" t="s">
        <v>16</v>
      </c>
      <c r="G7" t="s">
        <v>17</v>
      </c>
      <c r="H7">
        <v>40</v>
      </c>
      <c r="I7" t="s">
        <v>44</v>
      </c>
      <c r="J7" t="s">
        <v>34</v>
      </c>
      <c r="K7" t="b">
        <v>1</v>
      </c>
    </row>
    <row r="8" spans="1:11" x14ac:dyDescent="0.25">
      <c r="A8" t="s">
        <v>45</v>
      </c>
      <c r="B8" t="s">
        <v>46</v>
      </c>
      <c r="C8" t="s">
        <v>13</v>
      </c>
      <c r="D8" t="s">
        <v>47</v>
      </c>
      <c r="E8" t="s">
        <v>48</v>
      </c>
      <c r="F8" t="s">
        <v>16</v>
      </c>
      <c r="G8" t="s">
        <v>17</v>
      </c>
      <c r="H8">
        <v>40</v>
      </c>
      <c r="I8" t="s">
        <v>49</v>
      </c>
      <c r="J8" t="s">
        <v>19</v>
      </c>
      <c r="K8" t="b">
        <v>1</v>
      </c>
    </row>
    <row r="9" spans="1:11" x14ac:dyDescent="0.25">
      <c r="A9" t="s">
        <v>50</v>
      </c>
      <c r="B9" t="s">
        <v>51</v>
      </c>
      <c r="C9" t="s">
        <v>13</v>
      </c>
      <c r="D9" t="s">
        <v>47</v>
      </c>
      <c r="E9" t="s">
        <v>52</v>
      </c>
      <c r="F9" t="s">
        <v>16</v>
      </c>
      <c r="G9" t="s">
        <v>32</v>
      </c>
      <c r="H9">
        <v>32</v>
      </c>
      <c r="I9" t="s">
        <v>47</v>
      </c>
      <c r="J9" t="s">
        <v>34</v>
      </c>
      <c r="K9" t="b">
        <v>1</v>
      </c>
    </row>
    <row r="10" spans="1:11" x14ac:dyDescent="0.25">
      <c r="A10" t="s">
        <v>53</v>
      </c>
      <c r="B10" t="s">
        <v>54</v>
      </c>
      <c r="C10" t="s">
        <v>13</v>
      </c>
      <c r="D10" t="s">
        <v>14</v>
      </c>
      <c r="E10" t="s">
        <v>52</v>
      </c>
      <c r="F10" t="s">
        <v>16</v>
      </c>
      <c r="G10" t="s">
        <v>17</v>
      </c>
      <c r="H10">
        <v>32</v>
      </c>
      <c r="I10" t="s">
        <v>55</v>
      </c>
      <c r="J10" t="s">
        <v>34</v>
      </c>
      <c r="K10" t="b">
        <v>1</v>
      </c>
    </row>
    <row r="11" spans="1:11" x14ac:dyDescent="0.25">
      <c r="A11" t="s">
        <v>56</v>
      </c>
      <c r="B11" t="s">
        <v>57</v>
      </c>
      <c r="C11" t="s">
        <v>13</v>
      </c>
      <c r="D11" t="s">
        <v>26</v>
      </c>
      <c r="E11" t="s">
        <v>58</v>
      </c>
      <c r="F11" t="s">
        <v>16</v>
      </c>
      <c r="G11" t="s">
        <v>17</v>
      </c>
      <c r="H11">
        <v>32</v>
      </c>
      <c r="I11" t="s">
        <v>59</v>
      </c>
      <c r="J11" t="s">
        <v>34</v>
      </c>
      <c r="K11" t="b">
        <v>1</v>
      </c>
    </row>
    <row r="12" spans="1:11" x14ac:dyDescent="0.25">
      <c r="A12" t="s">
        <v>60</v>
      </c>
      <c r="B12" t="s">
        <v>61</v>
      </c>
      <c r="C12" t="s">
        <v>37</v>
      </c>
      <c r="D12" t="s">
        <v>38</v>
      </c>
      <c r="E12" t="s">
        <v>62</v>
      </c>
      <c r="F12" t="s">
        <v>16</v>
      </c>
      <c r="G12" t="s">
        <v>32</v>
      </c>
      <c r="H12">
        <v>32</v>
      </c>
      <c r="I12" t="s">
        <v>63</v>
      </c>
      <c r="J12" t="s">
        <v>34</v>
      </c>
      <c r="K12" t="b">
        <v>1</v>
      </c>
    </row>
    <row r="13" spans="1:11" x14ac:dyDescent="0.25">
      <c r="A13" t="s">
        <v>64</v>
      </c>
      <c r="B13" t="s">
        <v>65</v>
      </c>
      <c r="C13" t="s">
        <v>13</v>
      </c>
      <c r="D13" t="s">
        <v>66</v>
      </c>
      <c r="E13" t="s">
        <v>67</v>
      </c>
      <c r="F13" t="s">
        <v>16</v>
      </c>
      <c r="G13" t="s">
        <v>68</v>
      </c>
      <c r="H13">
        <v>24</v>
      </c>
      <c r="I13" t="s">
        <v>69</v>
      </c>
      <c r="J13" t="s">
        <v>19</v>
      </c>
      <c r="K13" t="b">
        <v>1</v>
      </c>
    </row>
    <row r="14" spans="1:11" x14ac:dyDescent="0.25">
      <c r="A14" t="s">
        <v>70</v>
      </c>
      <c r="B14" t="s">
        <v>71</v>
      </c>
      <c r="C14" t="s">
        <v>13</v>
      </c>
      <c r="D14" t="s">
        <v>66</v>
      </c>
      <c r="E14" t="s">
        <v>67</v>
      </c>
      <c r="F14" t="s">
        <v>72</v>
      </c>
      <c r="G14" t="s">
        <v>68</v>
      </c>
      <c r="H14">
        <v>24</v>
      </c>
      <c r="I14" t="s">
        <v>69</v>
      </c>
      <c r="J14" t="s">
        <v>19</v>
      </c>
      <c r="K14" t="b">
        <v>0</v>
      </c>
    </row>
    <row r="15" spans="1:11" x14ac:dyDescent="0.25">
      <c r="A15" t="s">
        <v>73</v>
      </c>
      <c r="B15" t="s">
        <v>74</v>
      </c>
      <c r="C15" t="s">
        <v>13</v>
      </c>
      <c r="D15" t="s">
        <v>14</v>
      </c>
      <c r="E15" t="s">
        <v>52</v>
      </c>
      <c r="F15" t="s">
        <v>16</v>
      </c>
      <c r="G15" t="s">
        <v>32</v>
      </c>
      <c r="H15">
        <v>32</v>
      </c>
      <c r="I15" t="s">
        <v>55</v>
      </c>
      <c r="J15" t="s">
        <v>75</v>
      </c>
      <c r="K15" t="b">
        <v>1</v>
      </c>
    </row>
    <row r="16" spans="1:11" x14ac:dyDescent="0.25">
      <c r="A16" t="s">
        <v>76</v>
      </c>
      <c r="B16" t="s">
        <v>77</v>
      </c>
      <c r="C16" t="s">
        <v>13</v>
      </c>
      <c r="D16" t="s">
        <v>26</v>
      </c>
      <c r="E16" t="s">
        <v>58</v>
      </c>
      <c r="F16" t="s">
        <v>16</v>
      </c>
      <c r="G16" t="s">
        <v>17</v>
      </c>
      <c r="H16">
        <v>32</v>
      </c>
      <c r="I16" t="s">
        <v>78</v>
      </c>
      <c r="J16" t="s">
        <v>75</v>
      </c>
      <c r="K16" t="b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4304-3954-4CF7-A46A-234B447D85D2}">
  <dimension ref="A1:J19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6.28515625" bestFit="1" customWidth="1"/>
    <col min="2" max="2" width="15" bestFit="1" customWidth="1"/>
    <col min="3" max="3" width="36.42578125" bestFit="1" customWidth="1"/>
    <col min="4" max="4" width="22.7109375" bestFit="1" customWidth="1"/>
    <col min="5" max="5" width="15.42578125" bestFit="1" customWidth="1"/>
    <col min="6" max="6" width="28.7109375" bestFit="1" customWidth="1"/>
    <col min="7" max="7" width="20" bestFit="1" customWidth="1"/>
    <col min="8" max="8" width="12.28515625" bestFit="1" customWidth="1"/>
    <col min="9" max="9" width="11.7109375" bestFit="1" customWidth="1"/>
    <col min="10" max="10" width="22.28515625" bestFit="1" customWidth="1"/>
  </cols>
  <sheetData>
    <row r="1" spans="1:10" x14ac:dyDescent="0.25">
      <c r="A1" t="s">
        <v>79</v>
      </c>
      <c r="B1" t="s">
        <v>0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</row>
    <row r="2" spans="1:10" x14ac:dyDescent="0.25">
      <c r="A2" t="s">
        <v>88</v>
      </c>
      <c r="B2" t="s">
        <v>11</v>
      </c>
      <c r="C2" t="s">
        <v>89</v>
      </c>
      <c r="D2" t="s">
        <v>90</v>
      </c>
      <c r="E2" t="s">
        <v>19</v>
      </c>
      <c r="F2">
        <v>15</v>
      </c>
      <c r="G2" t="s">
        <v>16</v>
      </c>
      <c r="H2" s="1">
        <v>46174</v>
      </c>
      <c r="I2" t="s">
        <v>91</v>
      </c>
      <c r="J2" t="b">
        <v>0</v>
      </c>
    </row>
    <row r="3" spans="1:10" x14ac:dyDescent="0.25">
      <c r="A3" t="s">
        <v>92</v>
      </c>
      <c r="B3" t="s">
        <v>11</v>
      </c>
      <c r="C3" t="s">
        <v>93</v>
      </c>
      <c r="D3" t="s">
        <v>94</v>
      </c>
      <c r="E3" t="s">
        <v>34</v>
      </c>
      <c r="F3">
        <v>10</v>
      </c>
      <c r="G3" t="s">
        <v>16</v>
      </c>
      <c r="H3" s="1">
        <v>46174</v>
      </c>
      <c r="I3" t="s">
        <v>91</v>
      </c>
      <c r="J3" t="b">
        <v>1</v>
      </c>
    </row>
    <row r="4" spans="1:10" x14ac:dyDescent="0.25">
      <c r="A4" t="s">
        <v>95</v>
      </c>
      <c r="B4" t="s">
        <v>20</v>
      </c>
      <c r="C4" t="s">
        <v>96</v>
      </c>
      <c r="D4" t="s">
        <v>90</v>
      </c>
      <c r="E4" t="s">
        <v>19</v>
      </c>
      <c r="F4">
        <v>30</v>
      </c>
      <c r="G4" t="s">
        <v>16</v>
      </c>
      <c r="H4" s="1">
        <v>46174</v>
      </c>
      <c r="I4" t="s">
        <v>91</v>
      </c>
      <c r="J4" t="b">
        <v>0</v>
      </c>
    </row>
    <row r="5" spans="1:10" x14ac:dyDescent="0.25">
      <c r="A5" t="s">
        <v>97</v>
      </c>
      <c r="B5" t="s">
        <v>24</v>
      </c>
      <c r="C5" t="s">
        <v>98</v>
      </c>
      <c r="D5" t="s">
        <v>99</v>
      </c>
      <c r="E5" t="s">
        <v>19</v>
      </c>
      <c r="F5">
        <v>25</v>
      </c>
      <c r="G5" t="s">
        <v>16</v>
      </c>
      <c r="H5" s="1">
        <v>46174</v>
      </c>
      <c r="I5" t="s">
        <v>91</v>
      </c>
      <c r="J5" t="b">
        <v>0</v>
      </c>
    </row>
    <row r="6" spans="1:10" x14ac:dyDescent="0.25">
      <c r="A6" t="s">
        <v>100</v>
      </c>
      <c r="B6" t="s">
        <v>24</v>
      </c>
      <c r="C6" t="s">
        <v>101</v>
      </c>
      <c r="D6" t="s">
        <v>99</v>
      </c>
      <c r="E6" t="s">
        <v>34</v>
      </c>
      <c r="F6">
        <v>10</v>
      </c>
      <c r="G6" t="s">
        <v>16</v>
      </c>
      <c r="H6" s="1">
        <v>46174</v>
      </c>
      <c r="I6" t="s">
        <v>91</v>
      </c>
      <c r="J6" t="b">
        <v>0</v>
      </c>
    </row>
    <row r="7" spans="1:10" x14ac:dyDescent="0.25">
      <c r="A7" t="s">
        <v>102</v>
      </c>
      <c r="B7" t="s">
        <v>29</v>
      </c>
      <c r="C7" t="s">
        <v>33</v>
      </c>
      <c r="D7" t="s">
        <v>99</v>
      </c>
      <c r="E7" t="s">
        <v>19</v>
      </c>
      <c r="F7">
        <v>30</v>
      </c>
      <c r="G7" t="s">
        <v>16</v>
      </c>
      <c r="H7" s="1">
        <v>46174</v>
      </c>
      <c r="I7" t="s">
        <v>91</v>
      </c>
      <c r="J7" t="b">
        <v>0</v>
      </c>
    </row>
    <row r="8" spans="1:10" x14ac:dyDescent="0.25">
      <c r="A8" t="s">
        <v>103</v>
      </c>
      <c r="B8" t="s">
        <v>35</v>
      </c>
      <c r="C8" t="s">
        <v>104</v>
      </c>
      <c r="D8" t="s">
        <v>37</v>
      </c>
      <c r="E8" t="s">
        <v>19</v>
      </c>
      <c r="F8">
        <v>20</v>
      </c>
      <c r="G8" t="s">
        <v>16</v>
      </c>
      <c r="H8" s="1">
        <v>46174</v>
      </c>
      <c r="I8" t="s">
        <v>91</v>
      </c>
      <c r="J8" t="b">
        <v>0</v>
      </c>
    </row>
    <row r="9" spans="1:10" x14ac:dyDescent="0.25">
      <c r="A9" t="s">
        <v>105</v>
      </c>
      <c r="B9" t="s">
        <v>35</v>
      </c>
      <c r="C9" t="s">
        <v>106</v>
      </c>
      <c r="D9" t="s">
        <v>37</v>
      </c>
      <c r="E9" t="s">
        <v>34</v>
      </c>
      <c r="F9">
        <v>10</v>
      </c>
      <c r="G9" t="s">
        <v>16</v>
      </c>
      <c r="H9" s="1">
        <v>46174</v>
      </c>
      <c r="I9" t="s">
        <v>91</v>
      </c>
      <c r="J9" t="b">
        <v>1</v>
      </c>
    </row>
    <row r="10" spans="1:10" x14ac:dyDescent="0.25">
      <c r="A10" t="s">
        <v>107</v>
      </c>
      <c r="B10" t="s">
        <v>41</v>
      </c>
      <c r="C10" t="s">
        <v>108</v>
      </c>
      <c r="D10" t="s">
        <v>37</v>
      </c>
      <c r="E10" t="s">
        <v>19</v>
      </c>
      <c r="F10">
        <v>25</v>
      </c>
      <c r="G10" t="s">
        <v>16</v>
      </c>
      <c r="H10" s="1">
        <v>46174</v>
      </c>
      <c r="I10" t="s">
        <v>91</v>
      </c>
      <c r="J10" t="b">
        <v>0</v>
      </c>
    </row>
    <row r="11" spans="1:10" x14ac:dyDescent="0.25">
      <c r="A11" t="s">
        <v>109</v>
      </c>
      <c r="B11" t="s">
        <v>45</v>
      </c>
      <c r="C11" t="s">
        <v>110</v>
      </c>
      <c r="D11" t="s">
        <v>94</v>
      </c>
      <c r="E11" t="s">
        <v>111</v>
      </c>
      <c r="F11">
        <v>30</v>
      </c>
      <c r="G11" t="s">
        <v>16</v>
      </c>
      <c r="H11" s="1">
        <v>46174</v>
      </c>
      <c r="I11" t="s">
        <v>91</v>
      </c>
      <c r="J11" t="b">
        <v>1</v>
      </c>
    </row>
    <row r="12" spans="1:10" x14ac:dyDescent="0.25">
      <c r="A12" t="s">
        <v>112</v>
      </c>
      <c r="B12" t="s">
        <v>50</v>
      </c>
      <c r="C12" t="s">
        <v>113</v>
      </c>
      <c r="D12" t="s">
        <v>94</v>
      </c>
      <c r="E12" t="s">
        <v>19</v>
      </c>
      <c r="F12">
        <v>20</v>
      </c>
      <c r="G12" t="s">
        <v>16</v>
      </c>
      <c r="H12" s="1">
        <v>46174</v>
      </c>
      <c r="I12" t="s">
        <v>91</v>
      </c>
      <c r="J12" t="b">
        <v>1</v>
      </c>
    </row>
    <row r="13" spans="1:10" x14ac:dyDescent="0.25">
      <c r="A13" t="s">
        <v>114</v>
      </c>
      <c r="B13" t="s">
        <v>53</v>
      </c>
      <c r="C13" t="s">
        <v>115</v>
      </c>
      <c r="D13" t="s">
        <v>90</v>
      </c>
      <c r="E13" t="s">
        <v>34</v>
      </c>
      <c r="F13">
        <v>20</v>
      </c>
      <c r="G13" t="s">
        <v>16</v>
      </c>
      <c r="H13" s="1">
        <v>46174</v>
      </c>
      <c r="I13" t="s">
        <v>91</v>
      </c>
      <c r="J13" t="b">
        <v>0</v>
      </c>
    </row>
    <row r="14" spans="1:10" x14ac:dyDescent="0.25">
      <c r="A14" t="s">
        <v>116</v>
      </c>
      <c r="B14" t="s">
        <v>56</v>
      </c>
      <c r="C14" t="s">
        <v>78</v>
      </c>
      <c r="D14" t="s">
        <v>99</v>
      </c>
      <c r="E14" t="s">
        <v>34</v>
      </c>
      <c r="F14">
        <v>20</v>
      </c>
      <c r="G14" t="s">
        <v>16</v>
      </c>
      <c r="H14" s="1">
        <v>46174</v>
      </c>
      <c r="I14" t="s">
        <v>91</v>
      </c>
      <c r="J14" t="b">
        <v>0</v>
      </c>
    </row>
    <row r="15" spans="1:10" x14ac:dyDescent="0.25">
      <c r="A15" t="s">
        <v>117</v>
      </c>
      <c r="B15" t="s">
        <v>60</v>
      </c>
      <c r="C15" t="s">
        <v>118</v>
      </c>
      <c r="D15" t="s">
        <v>37</v>
      </c>
      <c r="E15" t="s">
        <v>34</v>
      </c>
      <c r="F15">
        <v>20</v>
      </c>
      <c r="G15" t="s">
        <v>16</v>
      </c>
      <c r="H15" s="1">
        <v>46174</v>
      </c>
      <c r="I15" t="s">
        <v>91</v>
      </c>
      <c r="J15" t="b">
        <v>0</v>
      </c>
    </row>
    <row r="16" spans="1:10" x14ac:dyDescent="0.25">
      <c r="A16" t="s">
        <v>119</v>
      </c>
      <c r="B16" t="s">
        <v>64</v>
      </c>
      <c r="C16" t="s">
        <v>120</v>
      </c>
      <c r="D16" t="s">
        <v>121</v>
      </c>
      <c r="E16" t="s">
        <v>19</v>
      </c>
      <c r="F16">
        <v>20</v>
      </c>
      <c r="G16" t="s">
        <v>16</v>
      </c>
      <c r="H16" s="1">
        <v>46174</v>
      </c>
      <c r="I16" t="s">
        <v>91</v>
      </c>
      <c r="J16" t="b">
        <v>1</v>
      </c>
    </row>
    <row r="17" spans="1:10" x14ac:dyDescent="0.25">
      <c r="A17" t="s">
        <v>122</v>
      </c>
      <c r="B17" t="s">
        <v>70</v>
      </c>
      <c r="C17" t="s">
        <v>120</v>
      </c>
      <c r="D17" t="s">
        <v>121</v>
      </c>
      <c r="E17" t="s">
        <v>19</v>
      </c>
      <c r="F17">
        <v>20</v>
      </c>
      <c r="G17" t="s">
        <v>123</v>
      </c>
      <c r="H17" s="1">
        <v>46174</v>
      </c>
      <c r="I17" t="s">
        <v>91</v>
      </c>
      <c r="J17" t="b">
        <v>1</v>
      </c>
    </row>
    <row r="18" spans="1:10" x14ac:dyDescent="0.25">
      <c r="A18" t="s">
        <v>124</v>
      </c>
      <c r="B18" t="s">
        <v>73</v>
      </c>
      <c r="C18" t="s">
        <v>115</v>
      </c>
      <c r="D18" t="s">
        <v>90</v>
      </c>
      <c r="E18" t="s">
        <v>75</v>
      </c>
      <c r="F18">
        <v>15</v>
      </c>
      <c r="G18" t="s">
        <v>16</v>
      </c>
      <c r="H18" s="1">
        <v>46174</v>
      </c>
      <c r="I18" t="s">
        <v>91</v>
      </c>
      <c r="J18" t="b">
        <v>0</v>
      </c>
    </row>
    <row r="19" spans="1:10" x14ac:dyDescent="0.25">
      <c r="A19" t="s">
        <v>125</v>
      </c>
      <c r="B19" t="s">
        <v>76</v>
      </c>
      <c r="C19" t="s">
        <v>78</v>
      </c>
      <c r="D19" t="s">
        <v>99</v>
      </c>
      <c r="E19" t="s">
        <v>75</v>
      </c>
      <c r="F19">
        <v>15</v>
      </c>
      <c r="G19" t="s">
        <v>16</v>
      </c>
      <c r="H19" s="1">
        <v>46174</v>
      </c>
      <c r="I19" t="s">
        <v>91</v>
      </c>
      <c r="J19" t="b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39E67-69D8-4548-8520-5001E711BD10}">
  <dimension ref="A1:I16"/>
  <sheetViews>
    <sheetView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4" bestFit="1" customWidth="1"/>
    <col min="2" max="2" width="15" bestFit="1" customWidth="1"/>
    <col min="3" max="3" width="16.42578125" bestFit="1" customWidth="1"/>
    <col min="4" max="4" width="12.28515625" bestFit="1" customWidth="1"/>
    <col min="5" max="5" width="18.5703125" bestFit="1" customWidth="1"/>
    <col min="6" max="6" width="17.7109375" bestFit="1" customWidth="1"/>
    <col min="7" max="8" width="19" bestFit="1" customWidth="1"/>
    <col min="9" max="9" width="22.85546875" bestFit="1" customWidth="1"/>
  </cols>
  <sheetData>
    <row r="1" spans="1:9" x14ac:dyDescent="0.25">
      <c r="A1" t="s">
        <v>126</v>
      </c>
      <c r="B1" t="s">
        <v>0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9</v>
      </c>
      <c r="I1" t="s">
        <v>132</v>
      </c>
    </row>
    <row r="2" spans="1:9" x14ac:dyDescent="0.25">
      <c r="A2" t="s">
        <v>133</v>
      </c>
      <c r="B2" t="s">
        <v>11</v>
      </c>
      <c r="C2" s="1">
        <v>46174</v>
      </c>
      <c r="D2" t="s">
        <v>17</v>
      </c>
      <c r="E2">
        <v>8</v>
      </c>
      <c r="F2" t="s">
        <v>134</v>
      </c>
      <c r="G2" t="s">
        <v>14</v>
      </c>
      <c r="H2" t="s">
        <v>19</v>
      </c>
      <c r="I2" t="b">
        <v>0</v>
      </c>
    </row>
    <row r="3" spans="1:9" x14ac:dyDescent="0.25">
      <c r="A3" t="s">
        <v>135</v>
      </c>
      <c r="B3" t="s">
        <v>20</v>
      </c>
      <c r="C3" s="1">
        <v>46174</v>
      </c>
      <c r="D3" t="s">
        <v>17</v>
      </c>
      <c r="E3">
        <v>8</v>
      </c>
      <c r="F3" t="s">
        <v>134</v>
      </c>
      <c r="G3" t="s">
        <v>14</v>
      </c>
      <c r="H3" t="s">
        <v>19</v>
      </c>
      <c r="I3" t="b">
        <v>0</v>
      </c>
    </row>
    <row r="4" spans="1:9" x14ac:dyDescent="0.25">
      <c r="A4" t="s">
        <v>136</v>
      </c>
      <c r="B4" t="s">
        <v>24</v>
      </c>
      <c r="C4" s="1">
        <v>46174</v>
      </c>
      <c r="D4" t="s">
        <v>17</v>
      </c>
      <c r="E4">
        <v>8</v>
      </c>
      <c r="F4" t="s">
        <v>134</v>
      </c>
      <c r="G4" t="s">
        <v>26</v>
      </c>
      <c r="H4" t="s">
        <v>19</v>
      </c>
      <c r="I4" t="b">
        <v>0</v>
      </c>
    </row>
    <row r="5" spans="1:9" x14ac:dyDescent="0.25">
      <c r="A5" t="s">
        <v>137</v>
      </c>
      <c r="B5" t="s">
        <v>29</v>
      </c>
      <c r="C5" s="1">
        <v>46174</v>
      </c>
      <c r="D5" t="s">
        <v>32</v>
      </c>
      <c r="E5">
        <v>8</v>
      </c>
      <c r="F5" t="s">
        <v>134</v>
      </c>
      <c r="G5" t="s">
        <v>26</v>
      </c>
      <c r="H5" t="s">
        <v>34</v>
      </c>
      <c r="I5" t="b">
        <v>0</v>
      </c>
    </row>
    <row r="6" spans="1:9" x14ac:dyDescent="0.25">
      <c r="A6" t="s">
        <v>138</v>
      </c>
      <c r="B6" t="s">
        <v>35</v>
      </c>
      <c r="C6" s="1">
        <v>46174</v>
      </c>
      <c r="D6" t="s">
        <v>17</v>
      </c>
      <c r="E6">
        <v>8</v>
      </c>
      <c r="F6" t="s">
        <v>134</v>
      </c>
      <c r="G6" t="s">
        <v>38</v>
      </c>
      <c r="H6" t="s">
        <v>19</v>
      </c>
      <c r="I6" t="b">
        <v>0</v>
      </c>
    </row>
    <row r="7" spans="1:9" x14ac:dyDescent="0.25">
      <c r="A7" t="s">
        <v>139</v>
      </c>
      <c r="B7" t="s">
        <v>41</v>
      </c>
      <c r="C7" s="1">
        <v>46174</v>
      </c>
      <c r="D7" t="s">
        <v>17</v>
      </c>
      <c r="E7">
        <v>8</v>
      </c>
      <c r="F7" t="s">
        <v>134</v>
      </c>
      <c r="G7" t="s">
        <v>38</v>
      </c>
      <c r="H7" t="s">
        <v>34</v>
      </c>
      <c r="I7" t="b">
        <v>0</v>
      </c>
    </row>
    <row r="8" spans="1:9" x14ac:dyDescent="0.25">
      <c r="A8" t="s">
        <v>140</v>
      </c>
      <c r="B8" t="s">
        <v>45</v>
      </c>
      <c r="C8" s="1">
        <v>46174</v>
      </c>
      <c r="D8" t="s">
        <v>17</v>
      </c>
      <c r="E8">
        <v>8</v>
      </c>
      <c r="F8" t="s">
        <v>134</v>
      </c>
      <c r="G8" t="s">
        <v>47</v>
      </c>
      <c r="H8" t="s">
        <v>19</v>
      </c>
      <c r="I8" t="b">
        <v>0</v>
      </c>
    </row>
    <row r="9" spans="1:9" x14ac:dyDescent="0.25">
      <c r="A9" t="s">
        <v>141</v>
      </c>
      <c r="B9" t="s">
        <v>50</v>
      </c>
      <c r="C9" s="1">
        <v>46174</v>
      </c>
      <c r="D9" t="s">
        <v>32</v>
      </c>
      <c r="E9">
        <v>8</v>
      </c>
      <c r="F9" t="s">
        <v>134</v>
      </c>
      <c r="G9" t="s">
        <v>47</v>
      </c>
      <c r="H9" t="s">
        <v>34</v>
      </c>
      <c r="I9" t="b">
        <v>0</v>
      </c>
    </row>
    <row r="10" spans="1:9" x14ac:dyDescent="0.25">
      <c r="A10" t="s">
        <v>142</v>
      </c>
      <c r="B10" t="s">
        <v>53</v>
      </c>
      <c r="C10" s="1">
        <v>46174</v>
      </c>
      <c r="D10" t="s">
        <v>17</v>
      </c>
      <c r="E10">
        <v>8</v>
      </c>
      <c r="F10" t="s">
        <v>134</v>
      </c>
      <c r="G10" t="s">
        <v>14</v>
      </c>
      <c r="H10" t="s">
        <v>34</v>
      </c>
      <c r="I10" t="b">
        <v>0</v>
      </c>
    </row>
    <row r="11" spans="1:9" x14ac:dyDescent="0.25">
      <c r="A11" t="s">
        <v>143</v>
      </c>
      <c r="B11" t="s">
        <v>56</v>
      </c>
      <c r="C11" s="1">
        <v>46174</v>
      </c>
      <c r="D11" t="s">
        <v>17</v>
      </c>
      <c r="E11">
        <v>8</v>
      </c>
      <c r="F11" t="s">
        <v>134</v>
      </c>
      <c r="G11" t="s">
        <v>26</v>
      </c>
      <c r="H11" t="s">
        <v>34</v>
      </c>
      <c r="I11" t="b">
        <v>0</v>
      </c>
    </row>
    <row r="12" spans="1:9" x14ac:dyDescent="0.25">
      <c r="A12" t="s">
        <v>144</v>
      </c>
      <c r="B12" t="s">
        <v>60</v>
      </c>
      <c r="C12" s="1">
        <v>46174</v>
      </c>
      <c r="D12" t="s">
        <v>32</v>
      </c>
      <c r="E12">
        <v>8</v>
      </c>
      <c r="F12" t="s">
        <v>134</v>
      </c>
      <c r="G12" t="s">
        <v>38</v>
      </c>
      <c r="H12" t="s">
        <v>34</v>
      </c>
      <c r="I12" t="b">
        <v>0</v>
      </c>
    </row>
    <row r="13" spans="1:9" x14ac:dyDescent="0.25">
      <c r="A13" t="s">
        <v>145</v>
      </c>
      <c r="B13" t="s">
        <v>64</v>
      </c>
      <c r="C13" s="1">
        <v>46174</v>
      </c>
      <c r="D13" t="s">
        <v>68</v>
      </c>
      <c r="E13">
        <v>6</v>
      </c>
      <c r="F13" t="s">
        <v>134</v>
      </c>
      <c r="G13" t="s">
        <v>69</v>
      </c>
      <c r="H13" t="s">
        <v>19</v>
      </c>
      <c r="I13" t="b">
        <v>1</v>
      </c>
    </row>
    <row r="14" spans="1:9" x14ac:dyDescent="0.25">
      <c r="A14" t="s">
        <v>146</v>
      </c>
      <c r="B14" t="s">
        <v>70</v>
      </c>
      <c r="C14" s="1">
        <v>46174</v>
      </c>
      <c r="D14" t="s">
        <v>68</v>
      </c>
      <c r="E14">
        <v>6</v>
      </c>
      <c r="F14" t="s">
        <v>147</v>
      </c>
      <c r="G14" t="s">
        <v>69</v>
      </c>
      <c r="H14" t="s">
        <v>19</v>
      </c>
      <c r="I14" t="b">
        <v>1</v>
      </c>
    </row>
    <row r="15" spans="1:9" x14ac:dyDescent="0.25">
      <c r="A15" t="s">
        <v>148</v>
      </c>
      <c r="B15" t="s">
        <v>73</v>
      </c>
      <c r="C15" s="1">
        <v>46174</v>
      </c>
      <c r="D15" t="s">
        <v>32</v>
      </c>
      <c r="E15">
        <v>8</v>
      </c>
      <c r="F15" t="s">
        <v>134</v>
      </c>
      <c r="G15" t="s">
        <v>14</v>
      </c>
      <c r="H15" t="s">
        <v>75</v>
      </c>
      <c r="I15" t="b">
        <v>0</v>
      </c>
    </row>
    <row r="16" spans="1:9" x14ac:dyDescent="0.25">
      <c r="A16" t="s">
        <v>149</v>
      </c>
      <c r="B16" t="s">
        <v>76</v>
      </c>
      <c r="C16" s="1">
        <v>46174</v>
      </c>
      <c r="D16" t="s">
        <v>17</v>
      </c>
      <c r="E16">
        <v>8</v>
      </c>
      <c r="F16" t="s">
        <v>134</v>
      </c>
      <c r="G16" t="s">
        <v>26</v>
      </c>
      <c r="H16" t="s">
        <v>75</v>
      </c>
      <c r="I16" t="b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A52E-2CC1-465A-BEBB-60CC4BC17BB6}">
  <dimension ref="A1:J16"/>
  <sheetViews>
    <sheetView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4.28515625" bestFit="1" customWidth="1"/>
    <col min="2" max="2" width="15" bestFit="1" customWidth="1"/>
    <col min="3" max="3" width="18.5703125" bestFit="1" customWidth="1"/>
    <col min="4" max="4" width="16.5703125" bestFit="1" customWidth="1"/>
    <col min="5" max="5" width="18.42578125" bestFit="1" customWidth="1"/>
    <col min="6" max="6" width="13.28515625" bestFit="1" customWidth="1"/>
    <col min="7" max="7" width="18.42578125" bestFit="1" customWidth="1"/>
    <col min="8" max="8" width="14.5703125" bestFit="1" customWidth="1"/>
    <col min="9" max="9" width="18" bestFit="1" customWidth="1"/>
    <col min="10" max="10" width="28.85546875" bestFit="1" customWidth="1"/>
  </cols>
  <sheetData>
    <row r="1" spans="1:10" x14ac:dyDescent="0.25">
      <c r="A1" t="s">
        <v>150</v>
      </c>
      <c r="B1" t="s">
        <v>0</v>
      </c>
      <c r="C1" t="s">
        <v>151</v>
      </c>
      <c r="D1" t="s">
        <v>152</v>
      </c>
      <c r="E1" t="s">
        <v>153</v>
      </c>
      <c r="F1" t="s">
        <v>154</v>
      </c>
      <c r="G1" t="s">
        <v>155</v>
      </c>
      <c r="H1" t="s">
        <v>156</v>
      </c>
      <c r="I1" t="s">
        <v>157</v>
      </c>
      <c r="J1" t="s">
        <v>158</v>
      </c>
    </row>
    <row r="2" spans="1:10" x14ac:dyDescent="0.25">
      <c r="A2" t="s">
        <v>159</v>
      </c>
      <c r="B2" t="s">
        <v>11</v>
      </c>
      <c r="C2" s="1">
        <v>46174</v>
      </c>
      <c r="D2">
        <v>42</v>
      </c>
      <c r="E2">
        <v>38</v>
      </c>
      <c r="F2">
        <v>4</v>
      </c>
      <c r="G2">
        <v>25</v>
      </c>
      <c r="H2">
        <v>28</v>
      </c>
      <c r="I2" t="s">
        <v>160</v>
      </c>
      <c r="J2">
        <v>70</v>
      </c>
    </row>
    <row r="3" spans="1:10" x14ac:dyDescent="0.25">
      <c r="A3" t="s">
        <v>161</v>
      </c>
      <c r="B3" t="s">
        <v>20</v>
      </c>
      <c r="C3" s="1">
        <v>46174</v>
      </c>
      <c r="D3">
        <v>58</v>
      </c>
      <c r="E3">
        <v>49</v>
      </c>
      <c r="F3">
        <v>9</v>
      </c>
      <c r="G3">
        <v>30</v>
      </c>
      <c r="H3">
        <v>37</v>
      </c>
      <c r="I3" t="s">
        <v>162</v>
      </c>
      <c r="J3">
        <v>93</v>
      </c>
    </row>
    <row r="4" spans="1:10" x14ac:dyDescent="0.25">
      <c r="A4" t="s">
        <v>163</v>
      </c>
      <c r="B4" t="s">
        <v>24</v>
      </c>
      <c r="C4" s="1">
        <v>46174</v>
      </c>
      <c r="D4">
        <v>44</v>
      </c>
      <c r="E4">
        <v>41</v>
      </c>
      <c r="F4">
        <v>3</v>
      </c>
      <c r="G4">
        <v>25</v>
      </c>
      <c r="H4">
        <v>29</v>
      </c>
      <c r="I4" t="s">
        <v>160</v>
      </c>
      <c r="J4">
        <v>73</v>
      </c>
    </row>
    <row r="5" spans="1:10" x14ac:dyDescent="0.25">
      <c r="A5" t="s">
        <v>164</v>
      </c>
      <c r="B5" t="s">
        <v>29</v>
      </c>
      <c r="C5" s="1">
        <v>46174</v>
      </c>
      <c r="D5">
        <v>51</v>
      </c>
      <c r="E5">
        <v>43</v>
      </c>
      <c r="F5">
        <v>8</v>
      </c>
      <c r="G5">
        <v>30</v>
      </c>
      <c r="H5">
        <v>35</v>
      </c>
      <c r="I5" t="s">
        <v>162</v>
      </c>
      <c r="J5">
        <v>88</v>
      </c>
    </row>
    <row r="6" spans="1:10" x14ac:dyDescent="0.25">
      <c r="A6" t="s">
        <v>165</v>
      </c>
      <c r="B6" t="s">
        <v>35</v>
      </c>
      <c r="C6" s="1">
        <v>46174</v>
      </c>
      <c r="D6">
        <v>36</v>
      </c>
      <c r="E6">
        <v>34</v>
      </c>
      <c r="F6">
        <v>2</v>
      </c>
      <c r="G6">
        <v>20</v>
      </c>
      <c r="H6">
        <v>22</v>
      </c>
      <c r="I6" t="s">
        <v>160</v>
      </c>
      <c r="J6">
        <v>55</v>
      </c>
    </row>
    <row r="7" spans="1:10" x14ac:dyDescent="0.25">
      <c r="A7" t="s">
        <v>166</v>
      </c>
      <c r="B7" t="s">
        <v>41</v>
      </c>
      <c r="C7" s="1">
        <v>46174</v>
      </c>
      <c r="D7">
        <v>41</v>
      </c>
      <c r="E7">
        <v>39</v>
      </c>
      <c r="F7">
        <v>2</v>
      </c>
      <c r="G7">
        <v>25</v>
      </c>
      <c r="H7">
        <v>27</v>
      </c>
      <c r="I7" t="s">
        <v>160</v>
      </c>
      <c r="J7">
        <v>68</v>
      </c>
    </row>
    <row r="8" spans="1:10" x14ac:dyDescent="0.25">
      <c r="A8" t="s">
        <v>167</v>
      </c>
      <c r="B8" t="s">
        <v>45</v>
      </c>
      <c r="C8" s="1">
        <v>46174</v>
      </c>
      <c r="D8">
        <v>63</v>
      </c>
      <c r="E8">
        <v>55</v>
      </c>
      <c r="F8">
        <v>8</v>
      </c>
      <c r="G8">
        <v>30</v>
      </c>
      <c r="H8">
        <v>39</v>
      </c>
      <c r="I8" t="s">
        <v>162</v>
      </c>
      <c r="J8">
        <v>98</v>
      </c>
    </row>
    <row r="9" spans="1:10" x14ac:dyDescent="0.25">
      <c r="A9" t="s">
        <v>168</v>
      </c>
      <c r="B9" t="s">
        <v>50</v>
      </c>
      <c r="C9" s="1">
        <v>46174</v>
      </c>
      <c r="D9">
        <v>31</v>
      </c>
      <c r="E9">
        <v>28</v>
      </c>
      <c r="F9">
        <v>3</v>
      </c>
      <c r="G9">
        <v>20</v>
      </c>
      <c r="H9">
        <v>23</v>
      </c>
      <c r="I9" t="s">
        <v>160</v>
      </c>
      <c r="J9">
        <v>72</v>
      </c>
    </row>
    <row r="10" spans="1:10" x14ac:dyDescent="0.25">
      <c r="A10" t="s">
        <v>169</v>
      </c>
      <c r="B10" t="s">
        <v>53</v>
      </c>
      <c r="C10" s="1">
        <v>46174</v>
      </c>
      <c r="D10">
        <v>29</v>
      </c>
      <c r="E10">
        <v>26</v>
      </c>
      <c r="F10">
        <v>3</v>
      </c>
      <c r="G10">
        <v>20</v>
      </c>
      <c r="H10">
        <v>21</v>
      </c>
      <c r="I10" t="s">
        <v>160</v>
      </c>
      <c r="J10">
        <v>66</v>
      </c>
    </row>
    <row r="11" spans="1:10" x14ac:dyDescent="0.25">
      <c r="A11" t="s">
        <v>170</v>
      </c>
      <c r="B11" t="s">
        <v>56</v>
      </c>
      <c r="C11" s="1">
        <v>46174</v>
      </c>
      <c r="D11">
        <v>27</v>
      </c>
      <c r="E11">
        <v>24</v>
      </c>
      <c r="F11">
        <v>3</v>
      </c>
      <c r="G11">
        <v>20</v>
      </c>
      <c r="H11">
        <v>19</v>
      </c>
      <c r="I11" t="s">
        <v>171</v>
      </c>
      <c r="J11">
        <v>48</v>
      </c>
    </row>
    <row r="12" spans="1:10" x14ac:dyDescent="0.25">
      <c r="A12" t="s">
        <v>172</v>
      </c>
      <c r="B12" t="s">
        <v>60</v>
      </c>
      <c r="C12" s="1">
        <v>46174</v>
      </c>
      <c r="D12">
        <v>24</v>
      </c>
      <c r="E12">
        <v>22</v>
      </c>
      <c r="F12">
        <v>2</v>
      </c>
      <c r="G12">
        <v>20</v>
      </c>
      <c r="H12">
        <v>18</v>
      </c>
      <c r="I12" t="s">
        <v>171</v>
      </c>
      <c r="J12">
        <v>45</v>
      </c>
    </row>
    <row r="13" spans="1:10" x14ac:dyDescent="0.25">
      <c r="A13" t="s">
        <v>173</v>
      </c>
      <c r="B13" t="s">
        <v>64</v>
      </c>
      <c r="C13" s="1">
        <v>46174</v>
      </c>
      <c r="D13">
        <v>35</v>
      </c>
      <c r="E13">
        <v>30</v>
      </c>
      <c r="F13">
        <v>5</v>
      </c>
      <c r="G13">
        <v>20</v>
      </c>
      <c r="H13">
        <v>26</v>
      </c>
      <c r="I13" t="s">
        <v>160</v>
      </c>
      <c r="J13">
        <v>65</v>
      </c>
    </row>
    <row r="14" spans="1:10" x14ac:dyDescent="0.25">
      <c r="A14" t="s">
        <v>174</v>
      </c>
      <c r="B14" t="s">
        <v>70</v>
      </c>
      <c r="C14" s="1">
        <v>46174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175</v>
      </c>
      <c r="J14">
        <v>0</v>
      </c>
    </row>
    <row r="15" spans="1:10" x14ac:dyDescent="0.25">
      <c r="A15" t="s">
        <v>176</v>
      </c>
      <c r="B15" t="s">
        <v>73</v>
      </c>
      <c r="C15" s="1">
        <v>46174</v>
      </c>
      <c r="D15">
        <v>18</v>
      </c>
      <c r="E15">
        <v>16</v>
      </c>
      <c r="F15">
        <v>2</v>
      </c>
      <c r="G15">
        <v>15</v>
      </c>
      <c r="H15">
        <v>13</v>
      </c>
      <c r="I15" t="s">
        <v>171</v>
      </c>
      <c r="J15">
        <v>41</v>
      </c>
    </row>
    <row r="16" spans="1:10" x14ac:dyDescent="0.25">
      <c r="A16" t="s">
        <v>177</v>
      </c>
      <c r="B16" t="s">
        <v>76</v>
      </c>
      <c r="C16" s="1">
        <v>46174</v>
      </c>
      <c r="D16">
        <v>22</v>
      </c>
      <c r="E16">
        <v>20</v>
      </c>
      <c r="F16">
        <v>2</v>
      </c>
      <c r="G16">
        <v>15</v>
      </c>
      <c r="H16">
        <v>14</v>
      </c>
      <c r="I16" t="s">
        <v>171</v>
      </c>
      <c r="J16">
        <v>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3286-55B4-4E63-975E-502134FC4E91}">
  <dimension ref="A1:J11"/>
  <sheetViews>
    <sheetView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15" bestFit="1" customWidth="1"/>
    <col min="2" max="2" width="17.42578125" bestFit="1" customWidth="1"/>
    <col min="3" max="3" width="20" bestFit="1" customWidth="1"/>
    <col min="4" max="4" width="27" bestFit="1" customWidth="1"/>
    <col min="5" max="5" width="16" bestFit="1" customWidth="1"/>
    <col min="6" max="6" width="18.140625" bestFit="1" customWidth="1"/>
    <col min="7" max="7" width="24.85546875" bestFit="1" customWidth="1"/>
    <col min="8" max="8" width="16.140625" bestFit="1" customWidth="1"/>
    <col min="9" max="9" width="21.7109375" bestFit="1" customWidth="1"/>
    <col min="10" max="10" width="29.28515625" bestFit="1" customWidth="1"/>
  </cols>
  <sheetData>
    <row r="1" spans="1:10" x14ac:dyDescent="0.25">
      <c r="A1" t="s">
        <v>178</v>
      </c>
      <c r="B1" t="s">
        <v>179</v>
      </c>
      <c r="C1" t="s">
        <v>2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</row>
    <row r="2" spans="1:10" x14ac:dyDescent="0.25">
      <c r="A2" t="s">
        <v>187</v>
      </c>
      <c r="B2" s="1">
        <v>46175</v>
      </c>
      <c r="C2" t="s">
        <v>13</v>
      </c>
      <c r="D2" t="s">
        <v>188</v>
      </c>
      <c r="E2" t="s">
        <v>19</v>
      </c>
      <c r="F2" t="s">
        <v>14</v>
      </c>
      <c r="G2" t="s">
        <v>189</v>
      </c>
      <c r="H2" t="s">
        <v>190</v>
      </c>
      <c r="I2" t="s">
        <v>191</v>
      </c>
      <c r="J2" t="s">
        <v>192</v>
      </c>
    </row>
    <row r="3" spans="1:10" x14ac:dyDescent="0.25">
      <c r="A3" t="s">
        <v>193</v>
      </c>
      <c r="B3" s="1">
        <v>46176</v>
      </c>
      <c r="C3" t="s">
        <v>13</v>
      </c>
      <c r="D3" t="s">
        <v>194</v>
      </c>
      <c r="E3" t="s">
        <v>34</v>
      </c>
      <c r="F3" t="s">
        <v>66</v>
      </c>
      <c r="G3" t="s">
        <v>195</v>
      </c>
      <c r="H3" t="s">
        <v>196</v>
      </c>
      <c r="I3" t="s">
        <v>197</v>
      </c>
      <c r="J3" t="s">
        <v>198</v>
      </c>
    </row>
    <row r="4" spans="1:10" x14ac:dyDescent="0.25">
      <c r="A4" t="s">
        <v>199</v>
      </c>
      <c r="B4" s="1">
        <v>46177</v>
      </c>
      <c r="C4" t="s">
        <v>13</v>
      </c>
      <c r="D4" t="s">
        <v>200</v>
      </c>
      <c r="E4" t="s">
        <v>34</v>
      </c>
      <c r="F4" t="s">
        <v>26</v>
      </c>
      <c r="G4" t="s">
        <v>201</v>
      </c>
      <c r="H4" t="s">
        <v>202</v>
      </c>
      <c r="I4" t="s">
        <v>203</v>
      </c>
      <c r="J4" t="s">
        <v>204</v>
      </c>
    </row>
    <row r="5" spans="1:10" x14ac:dyDescent="0.25">
      <c r="A5" t="s">
        <v>205</v>
      </c>
      <c r="B5" s="1">
        <v>46178</v>
      </c>
      <c r="C5" t="s">
        <v>37</v>
      </c>
      <c r="D5" t="s">
        <v>206</v>
      </c>
      <c r="E5" t="s">
        <v>19</v>
      </c>
      <c r="F5" t="s">
        <v>38</v>
      </c>
      <c r="G5" t="s">
        <v>207</v>
      </c>
      <c r="H5" t="s">
        <v>202</v>
      </c>
      <c r="I5" t="s">
        <v>208</v>
      </c>
      <c r="J5" t="s">
        <v>209</v>
      </c>
    </row>
    <row r="6" spans="1:10" x14ac:dyDescent="0.25">
      <c r="A6" t="s">
        <v>210</v>
      </c>
      <c r="B6" s="1">
        <v>46178</v>
      </c>
      <c r="C6" t="s">
        <v>13</v>
      </c>
      <c r="D6" t="s">
        <v>211</v>
      </c>
      <c r="E6" t="s">
        <v>111</v>
      </c>
      <c r="F6" t="s">
        <v>47</v>
      </c>
      <c r="G6" t="s">
        <v>212</v>
      </c>
      <c r="H6" t="s">
        <v>190</v>
      </c>
      <c r="I6" t="s">
        <v>191</v>
      </c>
      <c r="J6" t="s">
        <v>213</v>
      </c>
    </row>
    <row r="7" spans="1:10" x14ac:dyDescent="0.25">
      <c r="A7" t="s">
        <v>214</v>
      </c>
      <c r="B7" s="1">
        <v>46179</v>
      </c>
      <c r="C7" t="s">
        <v>13</v>
      </c>
      <c r="D7" t="s">
        <v>215</v>
      </c>
      <c r="E7" t="s">
        <v>75</v>
      </c>
      <c r="F7" t="s">
        <v>66</v>
      </c>
      <c r="G7" t="s">
        <v>216</v>
      </c>
      <c r="H7" t="s">
        <v>217</v>
      </c>
      <c r="I7" t="s">
        <v>197</v>
      </c>
      <c r="J7" t="s">
        <v>218</v>
      </c>
    </row>
    <row r="8" spans="1:10" x14ac:dyDescent="0.25">
      <c r="A8" t="s">
        <v>219</v>
      </c>
      <c r="B8" s="1">
        <v>46180</v>
      </c>
      <c r="C8" t="s">
        <v>13</v>
      </c>
      <c r="D8" t="s">
        <v>188</v>
      </c>
      <c r="E8" t="s">
        <v>19</v>
      </c>
      <c r="F8" t="s">
        <v>26</v>
      </c>
      <c r="G8" t="s">
        <v>220</v>
      </c>
      <c r="H8" t="s">
        <v>196</v>
      </c>
      <c r="I8" t="s">
        <v>203</v>
      </c>
      <c r="J8" t="s">
        <v>221</v>
      </c>
    </row>
    <row r="9" spans="1:10" x14ac:dyDescent="0.25">
      <c r="A9" t="s">
        <v>222</v>
      </c>
      <c r="B9" s="1">
        <v>46181</v>
      </c>
      <c r="C9" t="s">
        <v>37</v>
      </c>
      <c r="D9" t="s">
        <v>200</v>
      </c>
      <c r="E9" t="s">
        <v>34</v>
      </c>
      <c r="F9" t="s">
        <v>38</v>
      </c>
      <c r="G9" t="s">
        <v>223</v>
      </c>
      <c r="H9" t="s">
        <v>202</v>
      </c>
      <c r="I9" t="s">
        <v>208</v>
      </c>
      <c r="J9" t="s">
        <v>224</v>
      </c>
    </row>
    <row r="10" spans="1:10" x14ac:dyDescent="0.25">
      <c r="A10" t="s">
        <v>225</v>
      </c>
      <c r="B10" s="1">
        <v>46182</v>
      </c>
      <c r="C10" t="s">
        <v>13</v>
      </c>
      <c r="D10" t="s">
        <v>194</v>
      </c>
      <c r="E10" t="s">
        <v>34</v>
      </c>
      <c r="F10" t="s">
        <v>14</v>
      </c>
      <c r="G10" t="s">
        <v>226</v>
      </c>
      <c r="H10" t="s">
        <v>217</v>
      </c>
      <c r="I10" t="s">
        <v>197</v>
      </c>
      <c r="J10" t="s">
        <v>227</v>
      </c>
    </row>
    <row r="11" spans="1:10" x14ac:dyDescent="0.25">
      <c r="A11" t="s">
        <v>228</v>
      </c>
      <c r="B11" s="1">
        <v>46183</v>
      </c>
      <c r="C11" t="s">
        <v>13</v>
      </c>
      <c r="D11" t="s">
        <v>206</v>
      </c>
      <c r="E11" t="s">
        <v>19</v>
      </c>
      <c r="F11" t="s">
        <v>47</v>
      </c>
      <c r="G11" t="s">
        <v>229</v>
      </c>
      <c r="H11" t="s">
        <v>190</v>
      </c>
      <c r="I11" t="s">
        <v>191</v>
      </c>
      <c r="J11" t="s">
        <v>230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B27554-52CE-46C9-AE8B-B521DB448A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Pivot Tables</vt:lpstr>
      <vt:lpstr>workforce-roster</vt:lpstr>
      <vt:lpstr>workforce-assignments</vt:lpstr>
      <vt:lpstr>workforce-coverage-schedule</vt:lpstr>
      <vt:lpstr>workforce-workload-distribution</vt:lpstr>
      <vt:lpstr>workforce-escalations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2026-06-07T00:55:47Z</dcterms:modified>
</cp:coreProperties>
</file>