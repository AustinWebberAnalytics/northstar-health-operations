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1e29a6debf5eaf8e/Documents/GitHub/northstar-health-operations/vendor-performance/reporting-and-kpis/"/>
    </mc:Choice>
  </mc:AlternateContent>
  <xr:revisionPtr revIDLastSave="549" documentId="11_F25DC773A252ABDACC104871895B64DE5BDE58EE" xr6:coauthVersionLast="47" xr6:coauthVersionMax="47" xr10:uidLastSave="{0EFD6302-872B-4364-8A3C-6ADD7FCA3636}"/>
  <bookViews>
    <workbookView minimized="1" xWindow="2985" yWindow="2985" windowWidth="23475" windowHeight="17640" xr2:uid="{00000000-000D-0000-FFFF-FFFF00000000}"/>
  </bookViews>
  <sheets>
    <sheet name="Executive Summary" sheetId="1" r:id="rId1"/>
    <sheet name="PivotTables" sheetId="6" r:id="rId2"/>
    <sheet name="vendor-master" sheetId="7" r:id="rId3"/>
    <sheet name="vendor-fulfillment-events" sheetId="8" r:id="rId4"/>
    <sheet name="vendor-sla-tracking" sheetId="9" r:id="rId5"/>
    <sheet name="vendor-corrective-actions" sheetId="10" r:id="rId6"/>
  </sheets>
  <definedNames>
    <definedName name="ExternalData_1" localSheetId="5" hidden="1">'vendor-corrective-actions'!$A$1:$Q$6</definedName>
    <definedName name="ExternalData_1" localSheetId="3" hidden="1">'vendor-fulfillment-events'!$A$1:$U$7</definedName>
    <definedName name="ExternalData_1" localSheetId="2" hidden="1">'vendor-master'!$A$1:$K$13</definedName>
    <definedName name="ExternalData_1" localSheetId="4" hidden="1">'vendor-sla-tracking'!$A$1:$O$7</definedName>
  </definedNames>
  <calcPr calcId="162913"/>
  <pivotCaches>
    <pivotCache cacheId="0" r:id="rId7"/>
    <pivotCache cacheId="1" r:id="rId8"/>
    <pivotCache cacheId="2" r:id="rId9"/>
    <pivotCache cacheId="3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154649-F657-4FAD-BD2F-9CE5E9D8B227}" keepAlive="1" name="Query - vendor-corrective-actions" description="Connection to the 'vendor-corrective-actions' query in the workbook." type="5" refreshedVersion="8" background="1" saveData="1">
    <dbPr connection="Provider=Microsoft.Mashup.OleDb.1;Data Source=$Workbook$;Location=vendor-corrective-actions;Extended Properties=&quot;&quot;" command="SELECT * FROM [vendor-corrective-actions]"/>
  </connection>
  <connection id="2" xr16:uid="{423FDA7F-5526-4110-9689-40F2D663EAEC}" keepAlive="1" name="Query - vendor-fulfillment-events" description="Connection to the 'vendor-fulfillment-events' query in the workbook." type="5" refreshedVersion="8" background="1" saveData="1">
    <dbPr connection="Provider=Microsoft.Mashup.OleDb.1;Data Source=$Workbook$;Location=vendor-fulfillment-events;Extended Properties=&quot;&quot;" command="SELECT * FROM [vendor-fulfillment-events]"/>
  </connection>
  <connection id="3" xr16:uid="{AF65FEDF-6E07-488C-9F91-9A5AF23F3604}" keepAlive="1" name="Query - vendor-master" description="Connection to the 'vendor-master' query in the workbook." type="5" refreshedVersion="8" background="1" saveData="1">
    <dbPr connection="Provider=Microsoft.Mashup.OleDb.1;Data Source=$Workbook$;Location=vendor-master;Extended Properties=&quot;&quot;" command="SELECT * FROM [vendor-master]"/>
  </connection>
  <connection id="4" xr16:uid="{A9A3DF0C-B19D-4201-A8C9-2E82299BF849}" keepAlive="1" name="Query - vendor-sla-tracking" description="Connection to the 'vendor-sla-tracking' query in the workbook." type="5" refreshedVersion="8" background="1" saveData="1">
    <dbPr connection="Provider=Microsoft.Mashup.OleDb.1;Data Source=$Workbook$;Location=vendor-sla-tracking;Extended Properties=&quot;&quot;" command="SELECT * FROM [vendor-sla-tracking]"/>
  </connection>
</connections>
</file>

<file path=xl/sharedStrings.xml><?xml version="1.0" encoding="utf-8"?>
<sst xmlns="http://schemas.openxmlformats.org/spreadsheetml/2006/main" count="419" uniqueCount="251">
  <si>
    <t>vendor_id</t>
  </si>
  <si>
    <t>vendor_name</t>
  </si>
  <si>
    <t>vendor_type</t>
  </si>
  <si>
    <t>primary_service_category</t>
  </si>
  <si>
    <t>support_level</t>
  </si>
  <si>
    <t>risk_tier</t>
  </si>
  <si>
    <t>preferred_vendor_flag</t>
  </si>
  <si>
    <t>emergency_fulfillment_flag</t>
  </si>
  <si>
    <t>active_vendor_flag</t>
  </si>
  <si>
    <t>primary_contact_team</t>
  </si>
  <si>
    <t>notes</t>
  </si>
  <si>
    <t>VEND-001</t>
  </si>
  <si>
    <t>MedSupply Partners</t>
  </si>
  <si>
    <t>Primary Supplier</t>
  </si>
  <si>
    <t>Medical Supplies</t>
  </si>
  <si>
    <t>Core Operational Support</t>
  </si>
  <si>
    <t>Low</t>
  </si>
  <si>
    <t>Supply &amp; Inventory Operations</t>
  </si>
  <si>
    <t>Preferred supplier for routine medical supply replenishment.</t>
  </si>
  <si>
    <t>VEND-002</t>
  </si>
  <si>
    <t>TriPoint Clinical Logistics</t>
  </si>
  <si>
    <t>Logistics Partner</t>
  </si>
  <si>
    <t>Distribution Support</t>
  </si>
  <si>
    <t>Logistics Support</t>
  </si>
  <si>
    <t>Moderate</t>
  </si>
  <si>
    <t>Supports regional shipment movement and distribution coordination.</t>
  </si>
  <si>
    <t>VEND-003</t>
  </si>
  <si>
    <t>Carolina Emergency Supply</t>
  </si>
  <si>
    <t>Emergency Supplier</t>
  </si>
  <si>
    <t>Emergency Supplies</t>
  </si>
  <si>
    <t>Emergency Support</t>
  </si>
  <si>
    <t>Operations Coordination Center</t>
  </si>
  <si>
    <t>Used for urgent replenishment when critical supply continuity is at risk.</t>
  </si>
  <si>
    <t>VEND-004</t>
  </si>
  <si>
    <t>Northline Medical Equipment</t>
  </si>
  <si>
    <t>Specialty Supplier</t>
  </si>
  <si>
    <t>Clinical Equipment</t>
  </si>
  <si>
    <t>Specialty Support</t>
  </si>
  <si>
    <t>Provides specialty equipment with longer lead times.</t>
  </si>
  <si>
    <t>VEND-005</t>
  </si>
  <si>
    <t>Blue Ridge Fulfillment Group</t>
  </si>
  <si>
    <t>Backup Supplier</t>
  </si>
  <si>
    <t>Supplemental Support</t>
  </si>
  <si>
    <t>High</t>
  </si>
  <si>
    <t>Vendor &amp; Service Management</t>
  </si>
  <si>
    <t>Backup supplier with inconsistent fulfillment timing.</t>
  </si>
  <si>
    <t>VEND-006</t>
  </si>
  <si>
    <t>Oakwell Distribution Services</t>
  </si>
  <si>
    <t>Recurring delivery delays require elevated monitoring.</t>
  </si>
  <si>
    <t>VEND-007</t>
  </si>
  <si>
    <t>Apex Procedural Supply</t>
  </si>
  <si>
    <t>Primary supplier for procedure-related inventory items.</t>
  </si>
  <si>
    <t>VEND-008</t>
  </si>
  <si>
    <t>RapidCare Response Supply</t>
  </si>
  <si>
    <t>Supports emergency fulfillment during shortage escalation events.</t>
  </si>
  <si>
    <t>VEND-009</t>
  </si>
  <si>
    <t>Precision Diagnostics Supply</t>
  </si>
  <si>
    <t>Critical</t>
  </si>
  <si>
    <t>High-dependency specialty vendor with operational risk exposure.</t>
  </si>
  <si>
    <t>VEND-010</t>
  </si>
  <si>
    <t>Evergreen General Operations</t>
  </si>
  <si>
    <t>General Operations</t>
  </si>
  <si>
    <t>Stable vendor for general operational supply needs.</t>
  </si>
  <si>
    <t>VEND-011</t>
  </si>
  <si>
    <t>Piedmont Medline Services</t>
  </si>
  <si>
    <t>Supplemental vendor used when primary supply channels are constrained.</t>
  </si>
  <si>
    <t>VEND-012</t>
  </si>
  <si>
    <t>Legacy Regional Supplies</t>
  </si>
  <si>
    <t>Inactive vendor retained for historical reporting continuity.</t>
  </si>
  <si>
    <t>fulfillment_event_id</t>
  </si>
  <si>
    <t>shipment_id</t>
  </si>
  <si>
    <t>item_id</t>
  </si>
  <si>
    <t>location_id</t>
  </si>
  <si>
    <t>order_date</t>
  </si>
  <si>
    <t>expected_delivery_date</t>
  </si>
  <si>
    <t>actual_delivery_date</t>
  </si>
  <si>
    <t>delivery_status</t>
  </si>
  <si>
    <t>fulfillment_status</t>
  </si>
  <si>
    <t>expected_quantity</t>
  </si>
  <si>
    <t>received_quantity</t>
  </si>
  <si>
    <t>fulfillment_accuracy_flag</t>
  </si>
  <si>
    <t>delay_flag</t>
  </si>
  <si>
    <t>delay_days</t>
  </si>
  <si>
    <t>partial_fulfillment_flag</t>
  </si>
  <si>
    <t>operational_impact_level</t>
  </si>
  <si>
    <t>escalation_required_flag</t>
  </si>
  <si>
    <t>related_ticket_id</t>
  </si>
  <si>
    <t>VF-1001</t>
  </si>
  <si>
    <t>SHIP-1001</t>
  </si>
  <si>
    <t>ITEM-1002</t>
  </si>
  <si>
    <t>LOC-RALEIGH-03</t>
  </si>
  <si>
    <t>Delivered</t>
  </si>
  <si>
    <t>Complete</t>
  </si>
  <si>
    <t/>
  </si>
  <si>
    <t>Routine shipment received on time with complete fulfillment.</t>
  </si>
  <si>
    <t>VF-1002</t>
  </si>
  <si>
    <t>SHIP-1002</t>
  </si>
  <si>
    <t>ITEM-1003</t>
  </si>
  <si>
    <t>LOC-DURHAM-07</t>
  </si>
  <si>
    <t>Delayed</t>
  </si>
  <si>
    <t>Partial</t>
  </si>
  <si>
    <t>INC-100012</t>
  </si>
  <si>
    <t>Delayed shipment with partial fulfillment contributing to backordered inventory risk.</t>
  </si>
  <si>
    <t>VF-1003</t>
  </si>
  <si>
    <t>SHIP-1003</t>
  </si>
  <si>
    <t>ITEM-1006</t>
  </si>
  <si>
    <t>LOC-WAKEFOREST-11</t>
  </si>
  <si>
    <t>Pending</t>
  </si>
  <si>
    <t>INC-100007</t>
  </si>
  <si>
    <t>Shipment remains pending while tracking visibility issue is active.</t>
  </si>
  <si>
    <t>VF-1004</t>
  </si>
  <si>
    <t>SHIP-1004</t>
  </si>
  <si>
    <t>ITEM-1007</t>
  </si>
  <si>
    <t>LOC-CARY-HUB-01</t>
  </si>
  <si>
    <t>Backup supplier shipment remains pending without current ticket escalation.</t>
  </si>
  <si>
    <t>VF-1005</t>
  </si>
  <si>
    <t>SHIP-1005</t>
  </si>
  <si>
    <t>ITEM-1001</t>
  </si>
  <si>
    <t>Preferred vendor shipment completed accurately and on time.</t>
  </si>
  <si>
    <t>VF-1006</t>
  </si>
  <si>
    <t>SHIP-1006</t>
  </si>
  <si>
    <t>ITEM-1005</t>
  </si>
  <si>
    <t>INC-100001</t>
  </si>
  <si>
    <t>Partial delayed shipment contributed to shortage-related operational pressure.</t>
  </si>
  <si>
    <t>sla_event_id</t>
  </si>
  <si>
    <t>sla_category</t>
  </si>
  <si>
    <t>sla_target_hours</t>
  </si>
  <si>
    <t>actual_response_hours</t>
  </si>
  <si>
    <t>sla_status</t>
  </si>
  <si>
    <t>sla_breach_flag</t>
  </si>
  <si>
    <t>review_date</t>
  </si>
  <si>
    <t>corrective_action_required_flag</t>
  </si>
  <si>
    <t>SLA-1001</t>
  </si>
  <si>
    <t>Delivery SLA</t>
  </si>
  <si>
    <t>Met</t>
  </si>
  <si>
    <t>Routine shipment met expected delivery SLA.</t>
  </si>
  <si>
    <t>SLA-1002</t>
  </si>
  <si>
    <t>Fulfillment SLA</t>
  </si>
  <si>
    <t>Breached</t>
  </si>
  <si>
    <t>Partial delayed fulfillment breached SLA and required escalation review.</t>
  </si>
  <si>
    <t>SLA-1003</t>
  </si>
  <si>
    <t>Operational Support SLA</t>
  </si>
  <si>
    <t>Monitoring</t>
  </si>
  <si>
    <t>Pending shipment remained within monitoring window but required ticket visibility.</t>
  </si>
  <si>
    <t>SLA-1004</t>
  </si>
  <si>
    <t>Backup supplier shipment remains pending but has not exceeded SLA threshold.</t>
  </si>
  <si>
    <t>SLA-1005</t>
  </si>
  <si>
    <t>Preferred vendor shipment met delivery expectations.</t>
  </si>
  <si>
    <t>SLA-1006</t>
  </si>
  <si>
    <t>Delayed partial shipment breached fulfillment SLA and required corrective follow-up.</t>
  </si>
  <si>
    <t>corrective_action_id</t>
  </si>
  <si>
    <t>corrective_action_type</t>
  </si>
  <si>
    <t>corrective_action_status</t>
  </si>
  <si>
    <t>corrective_action_severity</t>
  </si>
  <si>
    <t>trigger_reason</t>
  </si>
  <si>
    <t>assigned_owner</t>
  </si>
  <si>
    <t>remediation_plan_summary</t>
  </si>
  <si>
    <t>monitoring_start_date</t>
  </si>
  <si>
    <t>reassessment_date</t>
  </si>
  <si>
    <t>recovery_status</t>
  </si>
  <si>
    <t>corrective_action_closed_flag</t>
  </si>
  <si>
    <t>CA-1001</t>
  </si>
  <si>
    <t>SLA Recovery</t>
  </si>
  <si>
    <t>Action Required</t>
  </si>
  <si>
    <t>Repeated SLA breaches triggered operational review.</t>
  </si>
  <si>
    <t>Vendor Management</t>
  </si>
  <si>
    <t>Vendor required to improve fulfillment response consistency and reduce shipment delays.</t>
  </si>
  <si>
    <t>Improving</t>
  </si>
  <si>
    <t>Vendor escalation activity decreased but monitoring remains active.</t>
  </si>
  <si>
    <t>CA-1002</t>
  </si>
  <si>
    <t>Fulfillment Stabilization</t>
  </si>
  <si>
    <t>Escalated Review</t>
  </si>
  <si>
    <t>Delayed and partial fulfillment events created operational disruption exposure.</t>
  </si>
  <si>
    <t>Supply Chain Operations</t>
  </si>
  <si>
    <t>Vendor required to stabilize shipment completion reliability and improve communication timelines.</t>
  </si>
  <si>
    <t>Unresolved</t>
  </si>
  <si>
    <t>Repeated delayed shipment activity continues during monitoring period.</t>
  </si>
  <si>
    <t>CA-1003</t>
  </si>
  <si>
    <t>Operational Recovery</t>
  </si>
  <si>
    <t>Resolved</t>
  </si>
  <si>
    <t>Escalation-linked shipment delays required operational remediation review.</t>
  </si>
  <si>
    <t>Operational Support</t>
  </si>
  <si>
    <t>Vendor communication expectations reviewed and escalation procedures clarified.</t>
  </si>
  <si>
    <t>Stable</t>
  </si>
  <si>
    <t>Operational escalation frequency decreased after remediation review.</t>
  </si>
  <si>
    <t>CA-1004</t>
  </si>
  <si>
    <t>Continuity Risk Review</t>
  </si>
  <si>
    <t>Backup supplier fulfillment delays increased continuity-sensitive monitoring requirements.</t>
  </si>
  <si>
    <t>Inventory Leadership</t>
  </si>
  <si>
    <t>Vendor required to improve replenishment timeline transparency during backup supply periods.</t>
  </si>
  <si>
    <t>Vendor performance remains under continuity-risk observation.</t>
  </si>
  <si>
    <t>CA-1005</t>
  </si>
  <si>
    <t>Escalation Reduction</t>
  </si>
  <si>
    <t>Advisory</t>
  </si>
  <si>
    <t>Minor escalation review initiated following temporary shipment coordination concerns.</t>
  </si>
  <si>
    <t>Vendor coordination processes reviewed with no additional corrective escalation required.</t>
  </si>
  <si>
    <t>Vendor returned to normal operational monitoring status.</t>
  </si>
  <si>
    <t>Status</t>
  </si>
  <si>
    <t>SLA Status Distribution</t>
  </si>
  <si>
    <t>Vendor Fulfillment Event Distribution</t>
  </si>
  <si>
    <t>Vendor Risk Tier Distribution</t>
  </si>
  <si>
    <t>Corrective Action Status Distribution</t>
  </si>
  <si>
    <t>Corrective Action Severity Distribution</t>
  </si>
  <si>
    <t>• Pending and partial fulfillment activity may continue to increase operational dependency risk across connected inventory workflows.</t>
  </si>
  <si>
    <t>• Incomplete fulfillment visibility may reduce confidence in replenishment timing and shipment reliability interpretation.</t>
  </si>
  <si>
    <t>• SLA records currently remain distributed across met, monitoring, and breached operational conditions.</t>
  </si>
  <si>
    <t>• Monitoring and breached SLA activity may indicate elevated vendor oversight requirements and potential escalation exposure.</t>
  </si>
  <si>
    <t>• Higher-risk vendor classifications may increase operational disruption exposure across fulfillment and replenishment workflows.</t>
  </si>
  <si>
    <t>• Critical and high-risk vendors may require increased monitoring and corrective action visibility.</t>
  </si>
  <si>
    <t>Operational Area</t>
  </si>
  <si>
    <t>Confidence Level</t>
  </si>
  <si>
    <t>Primary Reliability Concern</t>
  </si>
  <si>
    <t>Vendor Fulfillment Visibility</t>
  </si>
  <si>
    <t>Partial shipment and pending fulfillment visibility</t>
  </si>
  <si>
    <t>SLA Status Reporting</t>
  </si>
  <si>
    <t>Delayed SLA synchronization and monitoring lag</t>
  </si>
  <si>
    <t>Vendor Risk Classification</t>
  </si>
  <si>
    <t>Stable operational classification structure</t>
  </si>
  <si>
    <t>Corrective Action Status Visibility</t>
  </si>
  <si>
    <t>Incomplete remediation and escalation tracking</t>
  </si>
  <si>
    <t>Corrective Action Severity Visibility</t>
  </si>
  <si>
    <t>Severity categories remain operationally consistent</t>
  </si>
  <si>
    <t>Operational Reporting Confidence Summary</t>
  </si>
  <si>
    <t>SLA Status</t>
  </si>
  <si>
    <t>Count</t>
  </si>
  <si>
    <t>Risk Tier</t>
  </si>
  <si>
    <t>Action Status</t>
  </si>
  <si>
    <t>Severity Level</t>
  </si>
  <si>
    <t>Northstar Enterprise</t>
  </si>
  <si>
    <t>Vendor Performance Executive Summary</t>
  </si>
  <si>
    <t>Reporting Period: June 1, 2026</t>
  </si>
  <si>
    <t xml:space="preserve">KPI Highlights </t>
  </si>
  <si>
    <t>Recommended Operational Focus Areas</t>
  </si>
  <si>
    <t>Reporting Confidence Notes</t>
  </si>
  <si>
    <t>Operational Observations</t>
  </si>
  <si>
    <t>• Most vendor fulfillment events were completed successfully, though some remain pending or only partially completed.</t>
  </si>
  <si>
    <t>• Most service agreements are currently being met, while a smaller number require monitoring or have been breached.</t>
  </si>
  <si>
    <t>• Vendors are distributed across multiple risk levels, with a small number classified as higher risk.</t>
  </si>
  <si>
    <t>• Several vendor issues remain under review or active remediation.</t>
  </si>
  <si>
    <t>• A small number of vendors account for most of the elevated risk within the dataset.</t>
  </si>
  <si>
    <t>• Pending fulfillment activity may affect downstream planning and inventory availability.</t>
  </si>
  <si>
    <t>• Some service issues continue to require monitoring and follow-up.</t>
  </si>
  <si>
    <t>• Several corrective actions remain unresolved and should continue to be tracked.</t>
  </si>
  <si>
    <t>• Fulfillment activity appears reliable overall, but some records remain incomplete or pending.</t>
  </si>
  <si>
    <t>• Service agreement reporting provides a useful snapshot of performance but may not capture all ongoing vendor communications.</t>
  </si>
  <si>
    <t>• Corrective action reporting should be reviewed alongside current operational context and follow-up activity.</t>
  </si>
  <si>
    <t>• Continue monitoring higher-risk vendors for signs of recurring performance issues.</t>
  </si>
  <si>
    <t>• Review pending fulfillment activity to reduce potential downstream delays.</t>
  </si>
  <si>
    <t>• Prioritize follow-up on unresolved corrective actions.</t>
  </si>
  <si>
    <t>• Monitor service agreement breaches for recurring patterns that may require escalation.</t>
  </si>
  <si>
    <r>
      <t>Purpose:</t>
    </r>
    <r>
      <rPr>
        <b/>
        <sz val="12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Provides an overview of vendor performance, service reliability, corrective action activity, and vendor risk.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</si>
</sst>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i/>
      <u/>
      <sz val="20"/>
      <color theme="9" tint="-0.249977111117893"/>
      <name val="Calibri"/>
      <family val="2"/>
      <scheme val="minor"/>
    </font>
    <font>
      <b/>
      <sz val="16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u/>
      <sz val="14"/>
      <color theme="9" tint="-0.249977111117893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14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4" fillId="0" borderId="0" xfId="0" applyFont="1"/>
    <xf numFmtId="0" fontId="5" fillId="0" borderId="0" xfId="0" applyFont="1"/>
    <xf numFmtId="0" fontId="6" fillId="0" borderId="0" xfId="1" applyFont="1"/>
    <xf numFmtId="0" fontId="7" fillId="0" borderId="0" xfId="0" applyFont="1"/>
    <xf numFmtId="0" fontId="0" fillId="0" borderId="1" xfId="0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7" xfId="0" applyBorder="1" applyAlignment="1">
      <alignment vertical="top" wrapText="1"/>
    </xf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vertical="top"/>
    </xf>
    <xf numFmtId="0" fontId="3" fillId="2" borderId="0" xfId="0" applyFont="1" applyFill="1" applyBorder="1"/>
    <xf numFmtId="0" fontId="0" fillId="0" borderId="0" xfId="0" applyBorder="1" applyAlignment="1">
      <alignment vertical="top"/>
    </xf>
    <xf numFmtId="0" fontId="2" fillId="0" borderId="0" xfId="1" applyFont="1" applyBorder="1"/>
    <xf numFmtId="0" fontId="0" fillId="0" borderId="0" xfId="0" applyBorder="1"/>
    <xf numFmtId="0" fontId="0" fillId="0" borderId="0" xfId="0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0" fillId="0" borderId="0" xfId="0" applyBorder="1" applyAlignment="1">
      <alignment vertical="top" wrapText="1"/>
    </xf>
    <xf numFmtId="0" fontId="0" fillId="2" borderId="2" xfId="0" applyFill="1" applyBorder="1"/>
    <xf numFmtId="0" fontId="0" fillId="2" borderId="3" xfId="0" applyFill="1" applyBorder="1"/>
    <xf numFmtId="0" fontId="0" fillId="0" borderId="9" xfId="0" applyBorder="1"/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</cellXfs>
  <cellStyles count="2">
    <cellStyle name="Heading 4" xfId="1" builtinId="19"/>
    <cellStyle name="Normal" xfId="0" builtinId="0"/>
  </cellStyles>
  <dxfs count="122"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</dxf>
    <dxf>
      <font>
        <b/>
      </font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vertical="top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</dxfs>
  <tableStyles count="1" defaultTableStyle="TableStyleMedium2" defaultPivotStyle="PivotStyleLight16">
    <tableStyle name="PivotTable Style 1" table="0" count="0" xr9:uid="{73C63450-152F-419B-B41A-55B64EAA669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stin webber" refreshedDate="46169.488132523147" createdVersion="8" refreshedVersion="8" minRefreshableVersion="3" recordCount="6" xr:uid="{0C0436D3-0888-449B-A9E9-031FE514E384}">
  <cacheSource type="worksheet">
    <worksheetSource name="vendor_fulfillment_events"/>
  </cacheSource>
  <cacheFields count="21">
    <cacheField name="fulfillment_event_id" numFmtId="0">
      <sharedItems/>
    </cacheField>
    <cacheField name="vendor_id" numFmtId="0">
      <sharedItems/>
    </cacheField>
    <cacheField name="shipment_id" numFmtId="0">
      <sharedItems/>
    </cacheField>
    <cacheField name="item_id" numFmtId="0">
      <sharedItems/>
    </cacheField>
    <cacheField name="location_id" numFmtId="0">
      <sharedItems/>
    </cacheField>
    <cacheField name="order_date" numFmtId="14">
      <sharedItems containsSemiMixedTypes="0" containsNonDate="0" containsDate="1" containsString="0" minDate="2026-05-20T00:00:00" maxDate="2026-05-22T00:00:00"/>
    </cacheField>
    <cacheField name="expected_delivery_date" numFmtId="14">
      <sharedItems containsSemiMixedTypes="0" containsNonDate="0" containsDate="1" containsString="0" minDate="2026-05-22T00:00:00" maxDate="2026-05-25T00:00:00"/>
    </cacheField>
    <cacheField name="actual_delivery_date" numFmtId="14">
      <sharedItems containsNonDate="0" containsDate="1" containsString="0" containsBlank="1" minDate="2026-05-22T00:00:00" maxDate="2026-05-25T00:00:00"/>
    </cacheField>
    <cacheField name="delivery_status" numFmtId="0">
      <sharedItems/>
    </cacheField>
    <cacheField name="fulfillment_status" numFmtId="0">
      <sharedItems count="3">
        <s v="Complete"/>
        <s v="Partial"/>
        <s v="Pending"/>
      </sharedItems>
    </cacheField>
    <cacheField name="expected_quantity" numFmtId="0">
      <sharedItems containsSemiMixedTypes="0" containsString="0" containsNumber="1" containsInteger="1" minValue="40" maxValue="80"/>
    </cacheField>
    <cacheField name="received_quantity" numFmtId="0">
      <sharedItems containsSemiMixedTypes="0" containsString="0" containsNumber="1" containsInteger="1" minValue="0" maxValue="80"/>
    </cacheField>
    <cacheField name="fulfillment_accuracy_flag" numFmtId="0">
      <sharedItems/>
    </cacheField>
    <cacheField name="delay_flag" numFmtId="0">
      <sharedItems/>
    </cacheField>
    <cacheField name="delay_days" numFmtId="0">
      <sharedItems containsSemiMixedTypes="0" containsString="0" containsNumber="1" containsInteger="1" minValue="0" maxValue="1"/>
    </cacheField>
    <cacheField name="partial_fulfillment_flag" numFmtId="0">
      <sharedItems/>
    </cacheField>
    <cacheField name="emergency_fulfillment_flag" numFmtId="0">
      <sharedItems/>
    </cacheField>
    <cacheField name="operational_impact_level" numFmtId="0">
      <sharedItems/>
    </cacheField>
    <cacheField name="escalation_required_flag" numFmtId="0">
      <sharedItems/>
    </cacheField>
    <cacheField name="related_ticket_id" numFmtId="0">
      <sharedItems/>
    </cacheField>
    <cacheField name="no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stin webber" refreshedDate="46169.491088773146" createdVersion="8" refreshedVersion="8" minRefreshableVersion="3" recordCount="6" xr:uid="{5AB0169B-985C-4DD8-8FB6-11C892FC8103}">
  <cacheSource type="worksheet">
    <worksheetSource name="vendor_sla_tracking"/>
  </cacheSource>
  <cacheFields count="15">
    <cacheField name="sla_event_id" numFmtId="0">
      <sharedItems/>
    </cacheField>
    <cacheField name="vendor_id" numFmtId="0">
      <sharedItems/>
    </cacheField>
    <cacheField name="shipment_id" numFmtId="0">
      <sharedItems/>
    </cacheField>
    <cacheField name="fulfillment_event_id" numFmtId="0">
      <sharedItems/>
    </cacheField>
    <cacheField name="sla_category" numFmtId="0">
      <sharedItems/>
    </cacheField>
    <cacheField name="sla_target_hours" numFmtId="0">
      <sharedItems containsSemiMixedTypes="0" containsString="0" containsNumber="1" containsInteger="1" minValue="48" maxValue="72"/>
    </cacheField>
    <cacheField name="actual_response_hours" numFmtId="0">
      <sharedItems containsSemiMixedTypes="0" containsString="0" containsNumber="1" containsInteger="1" minValue="48" maxValue="96"/>
    </cacheField>
    <cacheField name="sla_status" numFmtId="0">
      <sharedItems count="3">
        <s v="Met"/>
        <s v="Breached"/>
        <s v="Monitoring"/>
      </sharedItems>
    </cacheField>
    <cacheField name="sla_breach_flag" numFmtId="0">
      <sharedItems/>
    </cacheField>
    <cacheField name="escalation_required_flag" numFmtId="0">
      <sharedItems/>
    </cacheField>
    <cacheField name="operational_impact_level" numFmtId="0">
      <sharedItems/>
    </cacheField>
    <cacheField name="related_ticket_id" numFmtId="0">
      <sharedItems/>
    </cacheField>
    <cacheField name="review_date" numFmtId="14">
      <sharedItems containsSemiMixedTypes="0" containsNonDate="0" containsDate="1" containsString="0" minDate="2026-05-22T00:00:00" maxDate="2026-05-25T00:00:00"/>
    </cacheField>
    <cacheField name="corrective_action_required_flag" numFmtId="0">
      <sharedItems/>
    </cacheField>
    <cacheField name="no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stin webber" refreshedDate="46169.493876736109" createdVersion="8" refreshedVersion="8" minRefreshableVersion="3" recordCount="12" xr:uid="{6AB3592C-4948-4693-91EA-B60F5BE68386}">
  <cacheSource type="worksheet">
    <worksheetSource name="vendor_master"/>
  </cacheSource>
  <cacheFields count="11">
    <cacheField name="vendor_id" numFmtId="0">
      <sharedItems/>
    </cacheField>
    <cacheField name="vendor_name" numFmtId="0">
      <sharedItems/>
    </cacheField>
    <cacheField name="vendor_type" numFmtId="0">
      <sharedItems/>
    </cacheField>
    <cacheField name="primary_service_category" numFmtId="0">
      <sharedItems/>
    </cacheField>
    <cacheField name="support_level" numFmtId="0">
      <sharedItems/>
    </cacheField>
    <cacheField name="risk_tier" numFmtId="0">
      <sharedItems count="4">
        <s v="Low"/>
        <s v="Moderate"/>
        <s v="High"/>
        <s v="Critical"/>
      </sharedItems>
    </cacheField>
    <cacheField name="preferred_vendor_flag" numFmtId="0">
      <sharedItems/>
    </cacheField>
    <cacheField name="emergency_fulfillment_flag" numFmtId="0">
      <sharedItems/>
    </cacheField>
    <cacheField name="active_vendor_flag" numFmtId="0">
      <sharedItems/>
    </cacheField>
    <cacheField name="primary_contact_team" numFmtId="0">
      <sharedItems/>
    </cacheField>
    <cacheField name="no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stin webber" refreshedDate="46169.497955787039" createdVersion="8" refreshedVersion="8" minRefreshableVersion="3" recordCount="5" xr:uid="{8A2DB0E8-50A3-410E-873C-18AF9AFB370B}">
  <cacheSource type="worksheet">
    <worksheetSource name="vendor_corrective_actions"/>
  </cacheSource>
  <cacheFields count="17">
    <cacheField name="corrective_action_id" numFmtId="0">
      <sharedItems/>
    </cacheField>
    <cacheField name="vendor_id" numFmtId="0">
      <sharedItems/>
    </cacheField>
    <cacheField name="corrective_action_type" numFmtId="0">
      <sharedItems/>
    </cacheField>
    <cacheField name="corrective_action_status" numFmtId="0">
      <sharedItems count="3">
        <s v="Monitoring"/>
        <s v="Escalated Review"/>
        <s v="Resolved"/>
      </sharedItems>
    </cacheField>
    <cacheField name="corrective_action_severity" numFmtId="0">
      <sharedItems count="4">
        <s v="Action Required"/>
        <s v="Escalated Review"/>
        <s v="Monitoring"/>
        <s v="Advisory"/>
      </sharedItems>
    </cacheField>
    <cacheField name="trigger_reason" numFmtId="0">
      <sharedItems/>
    </cacheField>
    <cacheField name="sla_event_id" numFmtId="0">
      <sharedItems/>
    </cacheField>
    <cacheField name="fulfillment_event_id" numFmtId="0">
      <sharedItems/>
    </cacheField>
    <cacheField name="related_ticket_id" numFmtId="0">
      <sharedItems/>
    </cacheField>
    <cacheField name="assigned_owner" numFmtId="0">
      <sharedItems/>
    </cacheField>
    <cacheField name="remediation_plan_summary" numFmtId="0">
      <sharedItems/>
    </cacheField>
    <cacheField name="monitoring_start_date" numFmtId="14">
      <sharedItems containsSemiMixedTypes="0" containsNonDate="0" containsDate="1" containsString="0" minDate="2026-05-22T00:00:00" maxDate="2026-05-25T00:00:00"/>
    </cacheField>
    <cacheField name="reassessment_date" numFmtId="14">
      <sharedItems containsSemiMixedTypes="0" containsNonDate="0" containsDate="1" containsString="0" minDate="2026-05-27T00:00:00" maxDate="2026-06-15T00:00:00"/>
    </cacheField>
    <cacheField name="recovery_status" numFmtId="0">
      <sharedItems/>
    </cacheField>
    <cacheField name="escalation_required_flag" numFmtId="0">
      <sharedItems/>
    </cacheField>
    <cacheField name="corrective_action_closed_flag" numFmtId="0">
      <sharedItems/>
    </cacheField>
    <cacheField name="no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VF-1001"/>
    <s v="VEND-002"/>
    <s v="SHIP-1001"/>
    <s v="ITEM-1002"/>
    <s v="LOC-RALEIGH-03"/>
    <d v="2026-05-21T00:00:00"/>
    <d v="2026-05-23T00:00:00"/>
    <d v="2026-05-23T00:00:00"/>
    <s v="Delivered"/>
    <x v="0"/>
    <n v="60"/>
    <n v="60"/>
    <b v="1"/>
    <b v="0"/>
    <n v="0"/>
    <b v="0"/>
    <b v="0"/>
    <s v="Low"/>
    <b v="0"/>
    <s v=""/>
    <s v="Routine shipment received on time with complete fulfillment."/>
  </r>
  <r>
    <s v="VF-1002"/>
    <s v="VEND-003"/>
    <s v="SHIP-1002"/>
    <s v="ITEM-1003"/>
    <s v="LOC-DURHAM-07"/>
    <d v="2026-05-21T00:00:00"/>
    <d v="2026-05-24T00:00:00"/>
    <m/>
    <s v="Delayed"/>
    <x v="1"/>
    <n v="50"/>
    <n v="40"/>
    <b v="0"/>
    <b v="1"/>
    <n v="0"/>
    <b v="1"/>
    <b v="0"/>
    <s v="High"/>
    <b v="1"/>
    <s v="INC-100012"/>
    <s v="Delayed shipment with partial fulfillment contributing to backordered inventory risk."/>
  </r>
  <r>
    <s v="VF-1003"/>
    <s v="VEND-002"/>
    <s v="SHIP-1003"/>
    <s v="ITEM-1006"/>
    <s v="LOC-WAKEFOREST-11"/>
    <d v="2026-05-21T00:00:00"/>
    <d v="2026-05-23T00:00:00"/>
    <m/>
    <s v="Pending"/>
    <x v="2"/>
    <n v="45"/>
    <n v="0"/>
    <b v="0"/>
    <b v="0"/>
    <n v="0"/>
    <b v="0"/>
    <b v="0"/>
    <s v="Moderate"/>
    <b v="1"/>
    <s v="INC-100007"/>
    <s v="Shipment remains pending while tracking visibility issue is active."/>
  </r>
  <r>
    <s v="VF-1004"/>
    <s v="VEND-005"/>
    <s v="SHIP-1004"/>
    <s v="ITEM-1007"/>
    <s v="LOC-CARY-HUB-01"/>
    <d v="2026-05-21T00:00:00"/>
    <d v="2026-05-24T00:00:00"/>
    <m/>
    <s v="Pending"/>
    <x v="2"/>
    <n v="40"/>
    <n v="0"/>
    <b v="0"/>
    <b v="0"/>
    <n v="0"/>
    <b v="0"/>
    <b v="0"/>
    <s v="Moderate"/>
    <b v="0"/>
    <s v=""/>
    <s v="Backup supplier shipment remains pending without current ticket escalation."/>
  </r>
  <r>
    <s v="VF-1005"/>
    <s v="VEND-001"/>
    <s v="SHIP-1005"/>
    <s v="ITEM-1001"/>
    <s v="LOC-RALEIGH-03"/>
    <d v="2026-05-20T00:00:00"/>
    <d v="2026-05-22T00:00:00"/>
    <d v="2026-05-22T00:00:00"/>
    <s v="Delivered"/>
    <x v="0"/>
    <n v="80"/>
    <n v="80"/>
    <b v="1"/>
    <b v="0"/>
    <n v="0"/>
    <b v="0"/>
    <b v="0"/>
    <s v="Low"/>
    <b v="0"/>
    <s v=""/>
    <s v="Preferred vendor shipment completed accurately and on time."/>
  </r>
  <r>
    <s v="VF-1006"/>
    <s v="VEND-004"/>
    <s v="SHIP-1006"/>
    <s v="ITEM-1005"/>
    <s v="LOC-WAKEFOREST-11"/>
    <d v="2026-05-21T00:00:00"/>
    <d v="2026-05-23T00:00:00"/>
    <d v="2026-05-24T00:00:00"/>
    <s v="Delayed"/>
    <x v="1"/>
    <n v="50"/>
    <n v="35"/>
    <b v="0"/>
    <b v="1"/>
    <n v="1"/>
    <b v="1"/>
    <b v="0"/>
    <s v="High"/>
    <b v="1"/>
    <s v="INC-100001"/>
    <s v="Partial delayed shipment contributed to shortage-related operational pressure.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SLA-1001"/>
    <s v="VEND-002"/>
    <s v="SHIP-1001"/>
    <s v="VF-1001"/>
    <s v="Delivery SLA"/>
    <n v="48"/>
    <n v="48"/>
    <x v="0"/>
    <b v="0"/>
    <b v="0"/>
    <s v="Low"/>
    <s v=""/>
    <d v="2026-05-23T00:00:00"/>
    <b v="0"/>
    <s v="Routine shipment met expected delivery SLA."/>
  </r>
  <r>
    <s v="SLA-1002"/>
    <s v="VEND-003"/>
    <s v="SHIP-1002"/>
    <s v="VF-1002"/>
    <s v="Fulfillment SLA"/>
    <n v="72"/>
    <n v="96"/>
    <x v="1"/>
    <b v="1"/>
    <b v="1"/>
    <s v="High"/>
    <s v="INC-100012"/>
    <d v="2026-05-24T00:00:00"/>
    <b v="1"/>
    <s v="Partial delayed fulfillment breached SLA and required escalation review."/>
  </r>
  <r>
    <s v="SLA-1003"/>
    <s v="VEND-002"/>
    <s v="SHIP-1003"/>
    <s v="VF-1003"/>
    <s v="Operational Support SLA"/>
    <n v="48"/>
    <n v="48"/>
    <x v="2"/>
    <b v="0"/>
    <b v="1"/>
    <s v="Moderate"/>
    <s v="INC-100007"/>
    <d v="2026-05-23T00:00:00"/>
    <b v="0"/>
    <s v="Pending shipment remained within monitoring window but required ticket visibility."/>
  </r>
  <r>
    <s v="SLA-1004"/>
    <s v="VEND-005"/>
    <s v="SHIP-1004"/>
    <s v="VF-1004"/>
    <s v="Delivery SLA"/>
    <n v="72"/>
    <n v="72"/>
    <x v="2"/>
    <b v="0"/>
    <b v="0"/>
    <s v="Moderate"/>
    <s v=""/>
    <d v="2026-05-24T00:00:00"/>
    <b v="0"/>
    <s v="Backup supplier shipment remains pending but has not exceeded SLA threshold."/>
  </r>
  <r>
    <s v="SLA-1005"/>
    <s v="VEND-001"/>
    <s v="SHIP-1005"/>
    <s v="VF-1005"/>
    <s v="Delivery SLA"/>
    <n v="48"/>
    <n v="48"/>
    <x v="0"/>
    <b v="0"/>
    <b v="0"/>
    <s v="Low"/>
    <s v=""/>
    <d v="2026-05-22T00:00:00"/>
    <b v="0"/>
    <s v="Preferred vendor shipment met delivery expectations."/>
  </r>
  <r>
    <s v="SLA-1006"/>
    <s v="VEND-004"/>
    <s v="SHIP-1006"/>
    <s v="VF-1006"/>
    <s v="Fulfillment SLA"/>
    <n v="48"/>
    <n v="72"/>
    <x v="1"/>
    <b v="1"/>
    <b v="1"/>
    <s v="High"/>
    <s v="INC-100001"/>
    <d v="2026-05-24T00:00:00"/>
    <b v="1"/>
    <s v="Delayed partial shipment breached fulfillment SLA and required corrective follow-up.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VEND-001"/>
    <s v="MedSupply Partners"/>
    <s v="Primary Supplier"/>
    <s v="Medical Supplies"/>
    <s v="Core Operational Support"/>
    <x v="0"/>
    <b v="1"/>
    <b v="0"/>
    <b v="1"/>
    <s v="Supply &amp; Inventory Operations"/>
    <s v="Preferred supplier for routine medical supply replenishment."/>
  </r>
  <r>
    <s v="VEND-002"/>
    <s v="TriPoint Clinical Logistics"/>
    <s v="Logistics Partner"/>
    <s v="Distribution Support"/>
    <s v="Logistics Support"/>
    <x v="1"/>
    <b v="0"/>
    <b v="0"/>
    <b v="1"/>
    <s v="Supply &amp; Inventory Operations"/>
    <s v="Supports regional shipment movement and distribution coordination."/>
  </r>
  <r>
    <s v="VEND-003"/>
    <s v="Carolina Emergency Supply"/>
    <s v="Emergency Supplier"/>
    <s v="Emergency Supplies"/>
    <s v="Emergency Support"/>
    <x v="0"/>
    <b v="0"/>
    <b v="1"/>
    <b v="1"/>
    <s v="Operations Coordination Center"/>
    <s v="Used for urgent replenishment when critical supply continuity is at risk."/>
  </r>
  <r>
    <s v="VEND-004"/>
    <s v="Northline Medical Equipment"/>
    <s v="Specialty Supplier"/>
    <s v="Clinical Equipment"/>
    <s v="Specialty Support"/>
    <x v="1"/>
    <b v="1"/>
    <b v="0"/>
    <b v="1"/>
    <s v="Supply &amp; Inventory Operations"/>
    <s v="Provides specialty equipment with longer lead times."/>
  </r>
  <r>
    <s v="VEND-005"/>
    <s v="Blue Ridge Fulfillment Group"/>
    <s v="Backup Supplier"/>
    <s v="Medical Supplies"/>
    <s v="Supplemental Support"/>
    <x v="2"/>
    <b v="0"/>
    <b v="0"/>
    <b v="1"/>
    <s v="Vendor &amp; Service Management"/>
    <s v="Backup supplier with inconsistent fulfillment timing."/>
  </r>
  <r>
    <s v="VEND-006"/>
    <s v="Oakwell Distribution Services"/>
    <s v="Logistics Partner"/>
    <s v="Distribution Support"/>
    <s v="Logistics Support"/>
    <x v="2"/>
    <b v="0"/>
    <b v="0"/>
    <b v="1"/>
    <s v="Vendor &amp; Service Management"/>
    <s v="Recurring delivery delays require elevated monitoring."/>
  </r>
  <r>
    <s v="VEND-007"/>
    <s v="Apex Procedural Supply"/>
    <s v="Primary Supplier"/>
    <s v="Medical Supplies"/>
    <s v="Core Operational Support"/>
    <x v="1"/>
    <b v="1"/>
    <b v="0"/>
    <b v="1"/>
    <s v="Supply &amp; Inventory Operations"/>
    <s v="Primary supplier for procedure-related inventory items."/>
  </r>
  <r>
    <s v="VEND-008"/>
    <s v="RapidCare Response Supply"/>
    <s v="Emergency Supplier"/>
    <s v="Emergency Supplies"/>
    <s v="Emergency Support"/>
    <x v="1"/>
    <b v="0"/>
    <b v="1"/>
    <b v="1"/>
    <s v="Operations Coordination Center"/>
    <s v="Supports emergency fulfillment during shortage escalation events."/>
  </r>
  <r>
    <s v="VEND-009"/>
    <s v="Precision Diagnostics Supply"/>
    <s v="Specialty Supplier"/>
    <s v="Clinical Equipment"/>
    <s v="Specialty Support"/>
    <x v="3"/>
    <b v="0"/>
    <b v="0"/>
    <b v="1"/>
    <s v="Vendor &amp; Service Management"/>
    <s v="High-dependency specialty vendor with operational risk exposure."/>
  </r>
  <r>
    <s v="VEND-010"/>
    <s v="Evergreen General Operations"/>
    <s v="Primary Supplier"/>
    <s v="General Operations"/>
    <s v="Core Operational Support"/>
    <x v="0"/>
    <b v="1"/>
    <b v="0"/>
    <b v="1"/>
    <s v="Supply &amp; Inventory Operations"/>
    <s v="Stable vendor for general operational supply needs."/>
  </r>
  <r>
    <s v="VEND-011"/>
    <s v="Piedmont Medline Services"/>
    <s v="Backup Supplier"/>
    <s v="Medical Supplies"/>
    <s v="Supplemental Support"/>
    <x v="1"/>
    <b v="0"/>
    <b v="0"/>
    <b v="1"/>
    <s v="Supply &amp; Inventory Operations"/>
    <s v="Supplemental vendor used when primary supply channels are constrained."/>
  </r>
  <r>
    <s v="VEND-012"/>
    <s v="Legacy Regional Supplies"/>
    <s v="Backup Supplier"/>
    <s v="General Operations"/>
    <s v="Supplemental Support"/>
    <x v="2"/>
    <b v="0"/>
    <b v="0"/>
    <b v="0"/>
    <s v="Vendor &amp; Service Management"/>
    <s v="Inactive vendor retained for historical reporting continuity.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CA-1001"/>
    <s v="VEND-003"/>
    <s v="SLA Recovery"/>
    <x v="0"/>
    <x v="0"/>
    <s v="Repeated SLA breaches triggered operational review."/>
    <s v="SLA-1002"/>
    <s v="VF-1002"/>
    <s v="INC-100012"/>
    <s v="Vendor Management"/>
    <s v="Vendor required to improve fulfillment response consistency and reduce shipment delays."/>
    <d v="2026-05-24T00:00:00"/>
    <d v="2026-06-07T00:00:00"/>
    <s v="Improving"/>
    <b v="1"/>
    <b v="0"/>
    <s v="Vendor escalation activity decreased but monitoring remains active."/>
  </r>
  <r>
    <s v="CA-1002"/>
    <s v="VEND-004"/>
    <s v="Fulfillment Stabilization"/>
    <x v="1"/>
    <x v="1"/>
    <s v="Delayed and partial fulfillment events created operational disruption exposure."/>
    <s v="SLA-1006"/>
    <s v="VF-1006"/>
    <s v="INC-100001"/>
    <s v="Supply Chain Operations"/>
    <s v="Vendor required to stabilize shipment completion reliability and improve communication timelines."/>
    <d v="2026-05-24T00:00:00"/>
    <d v="2026-06-10T00:00:00"/>
    <s v="Unresolved"/>
    <b v="1"/>
    <b v="0"/>
    <s v="Repeated delayed shipment activity continues during monitoring period."/>
  </r>
  <r>
    <s v="CA-1003"/>
    <s v="VEND-002"/>
    <s v="Operational Recovery"/>
    <x v="2"/>
    <x v="2"/>
    <s v="Escalation-linked shipment delays required operational remediation review."/>
    <s v="SLA-1003"/>
    <s v="VF-1003"/>
    <s v="INC-100007"/>
    <s v="Operational Support"/>
    <s v="Vendor communication expectations reviewed and escalation procedures clarified."/>
    <d v="2026-05-23T00:00:00"/>
    <d v="2026-05-30T00:00:00"/>
    <s v="Stable"/>
    <b v="0"/>
    <b v="1"/>
    <s v="Operational escalation frequency decreased after remediation review."/>
  </r>
  <r>
    <s v="CA-1004"/>
    <s v="VEND-005"/>
    <s v="Continuity Risk Review"/>
    <x v="0"/>
    <x v="2"/>
    <s v="Backup supplier fulfillment delays increased continuity-sensitive monitoring requirements."/>
    <s v="SLA-1004"/>
    <s v="VF-1004"/>
    <s v=""/>
    <s v="Inventory Leadership"/>
    <s v="Vendor required to improve replenishment timeline transparency during backup supply periods."/>
    <d v="2026-05-24T00:00:00"/>
    <d v="2026-06-14T00:00:00"/>
    <s v="Monitoring"/>
    <b v="0"/>
    <b v="0"/>
    <s v="Vendor performance remains under continuity-risk observation."/>
  </r>
  <r>
    <s v="CA-1005"/>
    <s v="VEND-001"/>
    <s v="Escalation Reduction"/>
    <x v="2"/>
    <x v="3"/>
    <s v="Minor escalation review initiated following temporary shipment coordination concerns."/>
    <s v="SLA-1005"/>
    <s v="VF-1005"/>
    <s v=""/>
    <s v="Vendor Management"/>
    <s v="Vendor coordination processes reviewed with no additional corrective escalation required."/>
    <d v="2026-05-22T00:00:00"/>
    <d v="2026-05-27T00:00:00"/>
    <s v="Stable"/>
    <b v="0"/>
    <b v="1"/>
    <s v="Vendor returned to normal operational monitoring status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9AB0FC-DE18-4F09-B76F-AF9B4CD91218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LA Status">
  <location ref="D4:E7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</pivotFields>
  <rowFields count="1">
    <field x="7"/>
  </rowFields>
  <rowItems count="3">
    <i>
      <x/>
    </i>
    <i>
      <x v="1"/>
    </i>
    <i>
      <x v="2"/>
    </i>
  </rowItems>
  <colItems count="1">
    <i/>
  </colItems>
  <dataFields count="1">
    <dataField name="Count" fld="7" subtotal="count" baseField="0" baseItem="0"/>
  </dataFields>
  <formats count="15">
    <format dxfId="104">
      <pivotArea field="7" type="button" dataOnly="0" labelOnly="1" outline="0" axis="axisRow" fieldPosition="0"/>
    </format>
    <format dxfId="103">
      <pivotArea dataOnly="0" labelOnly="1" outline="0" axis="axisValues" fieldPosition="0"/>
    </format>
    <format dxfId="102">
      <pivotArea dataOnly="0" labelOnly="1" grandRow="1" outline="0" fieldPosition="0"/>
    </format>
    <format dxfId="101">
      <pivotArea grandRow="1" outline="0" collapsedLevelsAreSubtotals="1" fieldPosition="0"/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7" type="button" dataOnly="0" labelOnly="1" outline="0" axis="axisRow" fieldPosition="0"/>
    </format>
    <format dxfId="44">
      <pivotArea dataOnly="0" labelOnly="1" fieldPosition="0">
        <references count="1">
          <reference field="7" count="0"/>
        </references>
      </pivotArea>
    </format>
    <format dxfId="43">
      <pivotArea dataOnly="0" labelOnly="1" outline="0" axis="axisValues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7" type="button" dataOnly="0" labelOnly="1" outline="0" axis="axisRow" fieldPosition="0"/>
    </format>
    <format dxfId="17">
      <pivotArea dataOnly="0" labelOnly="1" fieldPosition="0">
        <references count="1">
          <reference field="7" count="0"/>
        </references>
      </pivotArea>
    </format>
    <format dxfId="16">
      <pivotArea dataOnly="0" labelOnly="1" outline="0" axis="axisValues" fieldPosition="0"/>
    </format>
    <format dxfId="0">
      <pivotArea dataOnly="0" fieldPosition="0">
        <references count="1">
          <reference field="7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50ABE4-D46D-497E-8589-6F544B57D953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tatus">
  <location ref="A4:B7" firstHeaderRow="1" firstDataRow="1" firstDataCol="1"/>
  <pivotFields count="21"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3">
    <i>
      <x/>
    </i>
    <i>
      <x v="1"/>
    </i>
    <i>
      <x v="2"/>
    </i>
  </rowItems>
  <colItems count="1">
    <i/>
  </colItems>
  <dataFields count="1">
    <dataField name="Count" fld="9" subtotal="count" baseField="0" baseItem="0"/>
  </dataFields>
  <formats count="12">
    <format dxfId="108">
      <pivotArea field="9" type="button" dataOnly="0" labelOnly="1" outline="0" axis="axisRow" fieldPosition="0"/>
    </format>
    <format dxfId="107">
      <pivotArea dataOnly="0" labelOnly="1" outline="0" axis="axisValues" fieldPosition="0"/>
    </format>
    <format dxfId="106">
      <pivotArea dataOnly="0" labelOnly="1" grandRow="1" outline="0" fieldPosition="0"/>
    </format>
    <format dxfId="105">
      <pivotArea grandRow="1" outline="0" collapsedLevelsAreSubtotals="1" fieldPosition="0"/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9" type="button" dataOnly="0" labelOnly="1" outline="0" axis="axisRow" fieldPosition="0"/>
    </format>
    <format dxfId="49">
      <pivotArea dataOnly="0" labelOnly="1" fieldPosition="0">
        <references count="1">
          <reference field="9" count="0"/>
        </references>
      </pivotArea>
    </format>
    <format dxfId="48">
      <pivotArea dataOnly="0" labelOnly="1" outline="0" axis="axisValues" fieldPosition="0"/>
    </format>
    <format dxfId="27">
      <pivotArea field="9" type="button" dataOnly="0" labelOnly="1" outline="0" axis="axisRow" fieldPosition="0"/>
    </format>
    <format dxfId="26">
      <pivotArea dataOnly="0" labelOnly="1" outline="0" axis="axisValues" fieldPosition="0"/>
    </format>
    <format dxfId="1">
      <pivotArea dataOnly="0" fieldPosition="0">
        <references count="1">
          <reference field="9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3941DC-48F8-4608-975F-C9C02236DD79}" name="PivotTable5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everity Level">
  <location ref="D13:E17" firstHeaderRow="1" firstDataRow="1" firstDataCol="1"/>
  <pivotFields count="17">
    <pivotField showAll="0"/>
    <pivotField showAll="0"/>
    <pivotField showAll="0"/>
    <pivotField showAll="0"/>
    <pivotField axis="axisRow" dataField="1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" fld="4" subtotal="count" baseField="0" baseItem="0"/>
  </dataFields>
  <formats count="14">
    <format dxfId="112">
      <pivotArea field="4" type="button" dataOnly="0" labelOnly="1" outline="0" axis="axisRow" fieldPosition="0"/>
    </format>
    <format dxfId="111">
      <pivotArea dataOnly="0" labelOnly="1" outline="0" axis="axisValues" fieldPosition="0"/>
    </format>
    <format dxfId="110">
      <pivotArea dataOnly="0" labelOnly="1" grandRow="1" outline="0" fieldPosition="0"/>
    </format>
    <format dxfId="109">
      <pivotArea grandRow="1" outline="0" collapsedLevelsAreSubtotals="1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4" type="button" dataOnly="0" labelOnly="1" outline="0" axis="axisRow" fieldPosition="0"/>
    </format>
    <format dxfId="34">
      <pivotArea dataOnly="0" labelOnly="1" fieldPosition="0">
        <references count="1">
          <reference field="4" count="0"/>
        </references>
      </pivotArea>
    </format>
    <format dxfId="33">
      <pivotArea dataOnly="0" labelOnly="1" outline="0" axis="axisValues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4" type="button" dataOnly="0" labelOnly="1" outline="0" axis="axisRow" fieldPosition="0"/>
    </format>
    <format dxfId="12">
      <pivotArea dataOnly="0" labelOnly="1" fieldPosition="0">
        <references count="1">
          <reference field="4" count="0"/>
        </references>
      </pivotArea>
    </format>
    <format dxfId="1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411F72-9E73-47E6-8287-21A4762EAC9D}" name="PivotTable4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Action Status">
  <location ref="A23:B26" firstHeaderRow="1" firstDataRow="1" firstDataCol="1"/>
  <pivotFields count="17"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>
      <x v="2"/>
    </i>
  </rowItems>
  <colItems count="1">
    <i/>
  </colItems>
  <dataFields count="1">
    <dataField name="Count" fld="3" subtotal="count" baseField="0" baseItem="0"/>
  </dataFields>
  <formats count="15">
    <format dxfId="117">
      <pivotArea field="3" type="button" dataOnly="0" labelOnly="1" outline="0" axis="axisRow" fieldPosition="0"/>
    </format>
    <format dxfId="116">
      <pivotArea dataOnly="0" labelOnly="1" outline="0" axis="axisValues" fieldPosition="0"/>
    </format>
    <format dxfId="115">
      <pivotArea dataOnly="0" labelOnly="1" grandRow="1" outline="0" fieldPosition="0"/>
    </format>
    <format dxfId="114">
      <pivotArea grandRow="1" outline="0" collapsedLevelsAreSubtotals="1" fieldPosition="0"/>
    </format>
    <format dxfId="113">
      <pivotArea dataOnly="0" fieldPosition="0">
        <references count="1">
          <reference field="3" count="0"/>
        </references>
      </pivotArea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3" type="button" dataOnly="0" labelOnly="1" outline="0" axis="axisRow" fieldPosition="0"/>
    </format>
    <format dxfId="29">
      <pivotArea dataOnly="0" labelOnly="1" fieldPosition="0">
        <references count="1">
          <reference field="3" count="0"/>
        </references>
      </pivotArea>
    </format>
    <format dxfId="28">
      <pivotArea dataOnly="0" labelOnly="1" outline="0" axis="axisValues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dataOnly="0" labelOnly="1" fieldPosition="0">
        <references count="1">
          <reference field="3" count="0"/>
        </references>
      </pivotArea>
    </format>
    <format dxfId="3">
      <pivotArea field="3" type="button" dataOnly="0" labelOnly="1" outline="0" axis="axisRow" fieldPosition="0"/>
    </format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82F12C-360C-4E28-AAA3-67A087A2BE7A}" name="PivotTable3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Risk Tier">
  <location ref="A13:B17" firstHeaderRow="1" firstDataRow="1" firstDataCol="1"/>
  <pivotFields count="11">
    <pivotField showAll="0"/>
    <pivotField showAll="0"/>
    <pivotField showAll="0"/>
    <pivotField showAll="0"/>
    <pivotField showAll="0"/>
    <pivotField axis="axisRow" dataField="1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" fld="5" subtotal="count" baseField="0" baseItem="0"/>
  </dataFields>
  <formats count="14">
    <format dxfId="121">
      <pivotArea field="5" type="button" dataOnly="0" labelOnly="1" outline="0" axis="axisRow" fieldPosition="0"/>
    </format>
    <format dxfId="120">
      <pivotArea dataOnly="0" labelOnly="1" outline="0" axis="axisValues" fieldPosition="0"/>
    </format>
    <format dxfId="119">
      <pivotArea dataOnly="0" labelOnly="1" grandRow="1" outline="0" fieldPosition="0"/>
    </format>
    <format dxfId="118">
      <pivotArea grandRow="1" outline="0" collapsedLevelsAreSubtotals="1" fieldPosition="0"/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5" type="button" dataOnly="0" labelOnly="1" outline="0" axis="axisRow" fieldPosition="0"/>
    </format>
    <format dxfId="39">
      <pivotArea dataOnly="0" labelOnly="1" fieldPosition="0">
        <references count="1">
          <reference field="5" count="0"/>
        </references>
      </pivotArea>
    </format>
    <format dxfId="38">
      <pivotArea dataOnly="0" labelOnly="1" outline="0" axis="axisValues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5" type="button" dataOnly="0" labelOnly="1" outline="0" axis="axisRow" fieldPosition="0"/>
    </format>
    <format dxfId="22">
      <pivotArea dataOnly="0" labelOnly="1" fieldPosition="0">
        <references count="1">
          <reference field="5" count="0"/>
        </references>
      </pivotArea>
    </format>
    <format dxfId="2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57DD512-7A81-4334-8C86-EE206A27E208}" autoFormatId="16" applyNumberFormats="0" applyBorderFormats="0" applyFontFormats="0" applyPatternFormats="0" applyAlignmentFormats="0" applyWidthHeightFormats="0">
  <queryTableRefresh nextId="12">
    <queryTableFields count="11">
      <queryTableField id="1" name="vendor_id" tableColumnId="1"/>
      <queryTableField id="2" name="vendor_name" tableColumnId="2"/>
      <queryTableField id="3" name="vendor_type" tableColumnId="3"/>
      <queryTableField id="4" name="primary_service_category" tableColumnId="4"/>
      <queryTableField id="5" name="support_level" tableColumnId="5"/>
      <queryTableField id="6" name="risk_tier" tableColumnId="6"/>
      <queryTableField id="7" name="preferred_vendor_flag" tableColumnId="7"/>
      <queryTableField id="8" name="emergency_fulfillment_flag" tableColumnId="8"/>
      <queryTableField id="9" name="active_vendor_flag" tableColumnId="9"/>
      <queryTableField id="10" name="primary_contact_team" tableColumnId="10"/>
      <queryTableField id="11" name="notes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1B8DF7F-0D2A-490B-8C31-898A9F94D92B}" autoFormatId="16" applyNumberFormats="0" applyBorderFormats="0" applyFontFormats="0" applyPatternFormats="0" applyAlignmentFormats="0" applyWidthHeightFormats="0">
  <queryTableRefresh nextId="22">
    <queryTableFields count="21">
      <queryTableField id="1" name="fulfillment_event_id" tableColumnId="1"/>
      <queryTableField id="2" name="vendor_id" tableColumnId="2"/>
      <queryTableField id="3" name="shipment_id" tableColumnId="3"/>
      <queryTableField id="4" name="item_id" tableColumnId="4"/>
      <queryTableField id="5" name="location_id" tableColumnId="5"/>
      <queryTableField id="6" name="order_date" tableColumnId="6"/>
      <queryTableField id="7" name="expected_delivery_date" tableColumnId="7"/>
      <queryTableField id="8" name="actual_delivery_date" tableColumnId="8"/>
      <queryTableField id="9" name="delivery_status" tableColumnId="9"/>
      <queryTableField id="10" name="fulfillment_status" tableColumnId="10"/>
      <queryTableField id="11" name="expected_quantity" tableColumnId="11"/>
      <queryTableField id="12" name="received_quantity" tableColumnId="12"/>
      <queryTableField id="13" name="fulfillment_accuracy_flag" tableColumnId="13"/>
      <queryTableField id="14" name="delay_flag" tableColumnId="14"/>
      <queryTableField id="15" name="delay_days" tableColumnId="15"/>
      <queryTableField id="16" name="partial_fulfillment_flag" tableColumnId="16"/>
      <queryTableField id="17" name="emergency_fulfillment_flag" tableColumnId="17"/>
      <queryTableField id="18" name="operational_impact_level" tableColumnId="18"/>
      <queryTableField id="19" name="escalation_required_flag" tableColumnId="19"/>
      <queryTableField id="20" name="related_ticket_id" tableColumnId="20"/>
      <queryTableField id="21" name="notes" tableColumnId="2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F44F24E-1430-47BB-8465-7C1E1D32A2E6}" autoFormatId="16" applyNumberFormats="0" applyBorderFormats="0" applyFontFormats="0" applyPatternFormats="0" applyAlignmentFormats="0" applyWidthHeightFormats="0">
  <queryTableRefresh nextId="16">
    <queryTableFields count="15">
      <queryTableField id="1" name="sla_event_id" tableColumnId="1"/>
      <queryTableField id="2" name="vendor_id" tableColumnId="2"/>
      <queryTableField id="3" name="shipment_id" tableColumnId="3"/>
      <queryTableField id="4" name="fulfillment_event_id" tableColumnId="4"/>
      <queryTableField id="5" name="sla_category" tableColumnId="5"/>
      <queryTableField id="6" name="sla_target_hours" tableColumnId="6"/>
      <queryTableField id="7" name="actual_response_hours" tableColumnId="7"/>
      <queryTableField id="8" name="sla_status" tableColumnId="8"/>
      <queryTableField id="9" name="sla_breach_flag" tableColumnId="9"/>
      <queryTableField id="10" name="escalation_required_flag" tableColumnId="10"/>
      <queryTableField id="11" name="operational_impact_level" tableColumnId="11"/>
      <queryTableField id="12" name="related_ticket_id" tableColumnId="12"/>
      <queryTableField id="13" name="review_date" tableColumnId="13"/>
      <queryTableField id="14" name="corrective_action_required_flag" tableColumnId="14"/>
      <queryTableField id="15" name="notes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5E5032A-C618-4FF6-A821-9BA5DE9B57C3}" autoFormatId="16" applyNumberFormats="0" applyBorderFormats="0" applyFontFormats="0" applyPatternFormats="0" applyAlignmentFormats="0" applyWidthHeightFormats="0">
  <queryTableRefresh nextId="18">
    <queryTableFields count="17">
      <queryTableField id="1" name="corrective_action_id" tableColumnId="1"/>
      <queryTableField id="2" name="vendor_id" tableColumnId="2"/>
      <queryTableField id="3" name="corrective_action_type" tableColumnId="3"/>
      <queryTableField id="4" name="corrective_action_status" tableColumnId="4"/>
      <queryTableField id="5" name="corrective_action_severity" tableColumnId="5"/>
      <queryTableField id="6" name="trigger_reason" tableColumnId="6"/>
      <queryTableField id="7" name="sla_event_id" tableColumnId="7"/>
      <queryTableField id="8" name="fulfillment_event_id" tableColumnId="8"/>
      <queryTableField id="9" name="related_ticket_id" tableColumnId="9"/>
      <queryTableField id="10" name="assigned_owner" tableColumnId="10"/>
      <queryTableField id="11" name="remediation_plan_summary" tableColumnId="11"/>
      <queryTableField id="12" name="monitoring_start_date" tableColumnId="12"/>
      <queryTableField id="13" name="reassessment_date" tableColumnId="13"/>
      <queryTableField id="14" name="recovery_status" tableColumnId="14"/>
      <queryTableField id="15" name="escalation_required_flag" tableColumnId="15"/>
      <queryTableField id="16" name="corrective_action_closed_flag" tableColumnId="16"/>
      <queryTableField id="17" name="notes" tableColumnId="1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A25AAC-9F37-4256-A93E-80C0D761A2B9}" name="Table5" displayName="Table5" ref="D23:F28" totalsRowShown="0" headerRowDxfId="100" dataDxfId="99" tableBorderDxfId="7">
  <autoFilter ref="D23:F28" xr:uid="{87A25AAC-9F37-4256-A93E-80C0D761A2B9}"/>
  <sortState xmlns:xlrd2="http://schemas.microsoft.com/office/spreadsheetml/2017/richdata2" ref="D24:F28">
    <sortCondition ref="D23:D28"/>
  </sortState>
  <tableColumns count="3">
    <tableColumn id="1" xr3:uid="{87F925ED-EE34-4DFE-9885-9CC1ECC97F59}" name="Operational Area" dataDxfId="6"/>
    <tableColumn id="2" xr3:uid="{19ED6EA1-7AA2-41B4-BB9E-FEBC4DE99056}" name="Confidence Level" dataDxfId="5"/>
    <tableColumn id="3" xr3:uid="{6433AD34-AE9A-4CBA-A8FE-56A104AEABDA}" name="Primary Reliability Concern" dataDxfId="4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82B0EF-3BA1-405E-875F-E809D82E9E27}" name="vendor_master" displayName="vendor_master" ref="A1:K13" tableType="queryTable" totalsRowShown="0">
  <autoFilter ref="A1:K13" xr:uid="{4182B0EF-3BA1-405E-875F-E809D82E9E27}"/>
  <tableColumns count="11">
    <tableColumn id="1" xr3:uid="{26A576E8-0F05-4B3F-8F70-376CDC7620AC}" uniqueName="1" name="vendor_id" queryTableFieldId="1" dataDxfId="98"/>
    <tableColumn id="2" xr3:uid="{C7C4AA2A-0E5C-4DB8-9D78-1D3C9DA3AA8A}" uniqueName="2" name="vendor_name" queryTableFieldId="2" dataDxfId="97"/>
    <tableColumn id="3" xr3:uid="{9E6C9575-2450-4157-8293-257ABAEA4D01}" uniqueName="3" name="vendor_type" queryTableFieldId="3" dataDxfId="96"/>
    <tableColumn id="4" xr3:uid="{490B0ABC-53D7-4615-8B31-ACCB180D73BC}" uniqueName="4" name="primary_service_category" queryTableFieldId="4" dataDxfId="95"/>
    <tableColumn id="5" xr3:uid="{5987D722-2743-4AAF-9DF2-9234FF22BAB0}" uniqueName="5" name="support_level" queryTableFieldId="5" dataDxfId="94"/>
    <tableColumn id="6" xr3:uid="{E3B18031-D4E9-4BA7-8D58-126808C660B3}" uniqueName="6" name="risk_tier" queryTableFieldId="6" dataDxfId="93"/>
    <tableColumn id="7" xr3:uid="{8AD47555-E87F-46E0-A31F-5D5F8DCEADF2}" uniqueName="7" name="preferred_vendor_flag" queryTableFieldId="7"/>
    <tableColumn id="8" xr3:uid="{94E68636-7C72-4138-87F6-F26BA45BB93F}" uniqueName="8" name="emergency_fulfillment_flag" queryTableFieldId="8"/>
    <tableColumn id="9" xr3:uid="{800E8777-FE01-4128-BD35-3343C6E19D27}" uniqueName="9" name="active_vendor_flag" queryTableFieldId="9"/>
    <tableColumn id="10" xr3:uid="{0AFADCB4-BA5F-4A9E-B3CD-545A663A70BC}" uniqueName="10" name="primary_contact_team" queryTableFieldId="10" dataDxfId="92"/>
    <tableColumn id="11" xr3:uid="{E153FFBA-5CF9-4394-B722-0957A92C5F4F}" uniqueName="11" name="notes" queryTableFieldId="11" dataDxfId="9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B3BAD5-670F-40C8-BCE4-966946BCDCEA}" name="vendor_fulfillment_events" displayName="vendor_fulfillment_events" ref="A1:U7" tableType="queryTable" totalsRowShown="0">
  <autoFilter ref="A1:U7" xr:uid="{46B3BAD5-670F-40C8-BCE4-966946BCDCEA}"/>
  <tableColumns count="21">
    <tableColumn id="1" xr3:uid="{291FACAA-D44B-416E-955C-549EE59C671C}" uniqueName="1" name="fulfillment_event_id" queryTableFieldId="1" dataDxfId="90"/>
    <tableColumn id="2" xr3:uid="{855B7CF0-7D36-4F60-9756-85E4671C9296}" uniqueName="2" name="vendor_id" queryTableFieldId="2" dataDxfId="89"/>
    <tableColumn id="3" xr3:uid="{AD0EC168-4A9D-4882-B03D-B53B53CB610F}" uniqueName="3" name="shipment_id" queryTableFieldId="3" dataDxfId="88"/>
    <tableColumn id="4" xr3:uid="{5820514A-0CAF-4262-A0BE-73482816F0DA}" uniqueName="4" name="item_id" queryTableFieldId="4" dataDxfId="87"/>
    <tableColumn id="5" xr3:uid="{295490EA-DF07-4145-B1BE-A1A3FE859EBF}" uniqueName="5" name="location_id" queryTableFieldId="5" dataDxfId="86"/>
    <tableColumn id="6" xr3:uid="{344ADC37-EA88-4BB0-B15A-7A2AF8679AAF}" uniqueName="6" name="order_date" queryTableFieldId="6" dataDxfId="85"/>
    <tableColumn id="7" xr3:uid="{D8916FC1-2727-4A5A-97EA-FFBBCB33041C}" uniqueName="7" name="expected_delivery_date" queryTableFieldId="7" dataDxfId="84"/>
    <tableColumn id="8" xr3:uid="{822531DD-3EBE-4589-9205-A532FBCAE1E9}" uniqueName="8" name="actual_delivery_date" queryTableFieldId="8" dataDxfId="83"/>
    <tableColumn id="9" xr3:uid="{CE0C0425-9B8D-4E34-ADD8-5F3D7D01B23B}" uniqueName="9" name="delivery_status" queryTableFieldId="9" dataDxfId="82"/>
    <tableColumn id="10" xr3:uid="{21109B24-7923-42A2-9CDA-D86221E98067}" uniqueName="10" name="fulfillment_status" queryTableFieldId="10" dataDxfId="81"/>
    <tableColumn id="11" xr3:uid="{30BD8C4C-C932-4824-A068-31857B85FC9E}" uniqueName="11" name="expected_quantity" queryTableFieldId="11"/>
    <tableColumn id="12" xr3:uid="{A0963C35-0DFA-4F7F-9B09-97A0CD817C9B}" uniqueName="12" name="received_quantity" queryTableFieldId="12"/>
    <tableColumn id="13" xr3:uid="{8409D753-7A4E-424B-86DA-57E9B66B6902}" uniqueName="13" name="fulfillment_accuracy_flag" queryTableFieldId="13"/>
    <tableColumn id="14" xr3:uid="{E1B7D279-FD18-4145-84B9-CD97992E2158}" uniqueName="14" name="delay_flag" queryTableFieldId="14"/>
    <tableColumn id="15" xr3:uid="{45074077-5EAE-47C1-8455-08D55FD11808}" uniqueName="15" name="delay_days" queryTableFieldId="15"/>
    <tableColumn id="16" xr3:uid="{FA99FB5B-0907-4A65-9616-A7BF4BC423FD}" uniqueName="16" name="partial_fulfillment_flag" queryTableFieldId="16"/>
    <tableColumn id="17" xr3:uid="{49557976-2516-406C-A11F-89FEB28E231A}" uniqueName="17" name="emergency_fulfillment_flag" queryTableFieldId="17"/>
    <tableColumn id="18" xr3:uid="{517B1408-EC5A-45C4-AD99-3AA660BB3867}" uniqueName="18" name="operational_impact_level" queryTableFieldId="18" dataDxfId="80"/>
    <tableColumn id="19" xr3:uid="{670858BE-FAC2-4FDE-A882-5FD510B11B06}" uniqueName="19" name="escalation_required_flag" queryTableFieldId="19"/>
    <tableColumn id="20" xr3:uid="{0B8A4F43-1F4D-4B16-9777-309614CA9FC9}" uniqueName="20" name="related_ticket_id" queryTableFieldId="20" dataDxfId="79"/>
    <tableColumn id="21" xr3:uid="{D38A904B-6B86-4A3A-8271-A2E7A3CB843E}" uniqueName="21" name="notes" queryTableFieldId="21" dataDxfId="7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F99B4-8EF9-4D5E-8ED8-8572F424D91B}" name="vendor_sla_tracking" displayName="vendor_sla_tracking" ref="A1:O7" tableType="queryTable" totalsRowShown="0">
  <autoFilter ref="A1:O7" xr:uid="{000F99B4-8EF9-4D5E-8ED8-8572F424D91B}"/>
  <tableColumns count="15">
    <tableColumn id="1" xr3:uid="{BAA272D0-48DE-4FE4-A55E-CB38B511F8E1}" uniqueName="1" name="sla_event_id" queryTableFieldId="1" dataDxfId="77"/>
    <tableColumn id="2" xr3:uid="{36A04F74-04D5-408A-AB94-80E9BF8DB59E}" uniqueName="2" name="vendor_id" queryTableFieldId="2" dataDxfId="76"/>
    <tableColumn id="3" xr3:uid="{B2304B79-7526-4BD8-9718-698F8D7B20B1}" uniqueName="3" name="shipment_id" queryTableFieldId="3" dataDxfId="75"/>
    <tableColumn id="4" xr3:uid="{A3DF195D-D536-4302-B936-2E0901FC45D4}" uniqueName="4" name="fulfillment_event_id" queryTableFieldId="4" dataDxfId="74"/>
    <tableColumn id="5" xr3:uid="{BF918E9E-4B17-4441-A493-F418306E6685}" uniqueName="5" name="sla_category" queryTableFieldId="5" dataDxfId="73"/>
    <tableColumn id="6" xr3:uid="{EEE95176-80E1-4B5E-8802-818334596381}" uniqueName="6" name="sla_target_hours" queryTableFieldId="6"/>
    <tableColumn id="7" xr3:uid="{31DDA0AF-D7C2-4799-BC6F-41FB14E9CA73}" uniqueName="7" name="actual_response_hours" queryTableFieldId="7"/>
    <tableColumn id="8" xr3:uid="{3C54470B-3D86-4470-85B6-E7D008CE91EB}" uniqueName="8" name="sla_status" queryTableFieldId="8" dataDxfId="72"/>
    <tableColumn id="9" xr3:uid="{8C4C7C05-BAF3-49EF-A3F8-24FB6AEF2814}" uniqueName="9" name="sla_breach_flag" queryTableFieldId="9"/>
    <tableColumn id="10" xr3:uid="{C61E5816-17DE-47DF-844D-EAF8F40FDD01}" uniqueName="10" name="escalation_required_flag" queryTableFieldId="10"/>
    <tableColumn id="11" xr3:uid="{806B9CEE-F7EF-4A8C-B0A9-97AC93EE1A4E}" uniqueName="11" name="operational_impact_level" queryTableFieldId="11" dataDxfId="71"/>
    <tableColumn id="12" xr3:uid="{74A1377D-C647-408A-9AEF-E4633B496D12}" uniqueName="12" name="related_ticket_id" queryTableFieldId="12" dataDxfId="70"/>
    <tableColumn id="13" xr3:uid="{A2AE87D3-8E7A-424F-ADC7-402B2967A04A}" uniqueName="13" name="review_date" queryTableFieldId="13" dataDxfId="69"/>
    <tableColumn id="14" xr3:uid="{B39E41F9-6277-4EA4-AB31-76BFB8A06B5C}" uniqueName="14" name="corrective_action_required_flag" queryTableFieldId="14"/>
    <tableColumn id="15" xr3:uid="{53F3DC06-75A0-4F70-AAAA-3C2E2ED3E3CF}" uniqueName="15" name="notes" queryTableFieldId="15" dataDxfId="6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3C8A38-7930-4A65-BC92-DC4CEE03691F}" name="vendor_corrective_actions" displayName="vendor_corrective_actions" ref="A1:Q6" tableType="queryTable" totalsRowShown="0">
  <autoFilter ref="A1:Q6" xr:uid="{F83C8A38-7930-4A65-BC92-DC4CEE03691F}"/>
  <tableColumns count="17">
    <tableColumn id="1" xr3:uid="{94393011-C2A5-4543-82E0-CF2CFFCC768E}" uniqueName="1" name="corrective_action_id" queryTableFieldId="1" dataDxfId="67"/>
    <tableColumn id="2" xr3:uid="{FE31803A-AA27-4B50-A5D7-2E933EED8EDD}" uniqueName="2" name="vendor_id" queryTableFieldId="2" dataDxfId="66"/>
    <tableColumn id="3" xr3:uid="{322B6FC8-D1D5-4475-BE8F-15A61EBA326A}" uniqueName="3" name="corrective_action_type" queryTableFieldId="3" dataDxfId="65"/>
    <tableColumn id="4" xr3:uid="{CFCC0F4F-9C54-4E9B-8154-D94CF415DABC}" uniqueName="4" name="corrective_action_status" queryTableFieldId="4" dataDxfId="64"/>
    <tableColumn id="5" xr3:uid="{D9F65932-2450-46D1-BA75-E97239AFB3A2}" uniqueName="5" name="corrective_action_severity" queryTableFieldId="5" dataDxfId="63"/>
    <tableColumn id="6" xr3:uid="{3D6348E0-F229-42E7-8BC6-25410ABC533F}" uniqueName="6" name="trigger_reason" queryTableFieldId="6" dataDxfId="62"/>
    <tableColumn id="7" xr3:uid="{A991BE3E-58DC-4413-AFB9-682D257B02E8}" uniqueName="7" name="sla_event_id" queryTableFieldId="7" dataDxfId="61"/>
    <tableColumn id="8" xr3:uid="{938AAB17-52F3-454A-8E39-162FCA9BCF8C}" uniqueName="8" name="fulfillment_event_id" queryTableFieldId="8" dataDxfId="60"/>
    <tableColumn id="9" xr3:uid="{F056C6FD-A1B5-4A50-8438-86C2DD40520A}" uniqueName="9" name="related_ticket_id" queryTableFieldId="9" dataDxfId="59"/>
    <tableColumn id="10" xr3:uid="{11697B55-AB9D-454C-8691-BF5BE47BEB60}" uniqueName="10" name="assigned_owner" queryTableFieldId="10" dataDxfId="58"/>
    <tableColumn id="11" xr3:uid="{38AB43C5-F50C-4381-9C00-EB47F455F7F4}" uniqueName="11" name="remediation_plan_summary" queryTableFieldId="11" dataDxfId="57"/>
    <tableColumn id="12" xr3:uid="{870C00F8-318D-45DA-ADDB-D9B98F6B628D}" uniqueName="12" name="monitoring_start_date" queryTableFieldId="12" dataDxfId="56"/>
    <tableColumn id="13" xr3:uid="{11B305D6-D59B-4D19-B2F2-D454A113338E}" uniqueName="13" name="reassessment_date" queryTableFieldId="13" dataDxfId="55"/>
    <tableColumn id="14" xr3:uid="{2949F919-CB24-4681-8F68-4D56AA038F20}" uniqueName="14" name="recovery_status" queryTableFieldId="14" dataDxfId="54"/>
    <tableColumn id="15" xr3:uid="{6B20598D-F079-488D-9D7B-03C45D65B7FC}" uniqueName="15" name="escalation_required_flag" queryTableFieldId="15"/>
    <tableColumn id="16" xr3:uid="{25BED46A-F022-4F67-9E00-3626A945389F}" uniqueName="16" name="corrective_action_closed_flag" queryTableFieldId="16"/>
    <tableColumn id="17" xr3:uid="{BAE5645A-C5DF-476C-9271-E06114098F21}" uniqueName="17" name="notes" queryTableFieldId="17" dataDxfId="5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showGridLines="0" tabSelected="1" workbookViewId="0">
      <pane ySplit="8" topLeftCell="A9" activePane="bottomLeft" state="frozen"/>
      <selection pane="bottomLeft" activeCell="A11" sqref="A11"/>
    </sheetView>
  </sheetViews>
  <sheetFormatPr defaultRowHeight="15" x14ac:dyDescent="0.25"/>
  <cols>
    <col min="1" max="1" width="70.5703125" customWidth="1"/>
  </cols>
  <sheetData>
    <row r="1" spans="1:2" ht="26.25" x14ac:dyDescent="0.4">
      <c r="A1" s="5" t="s">
        <v>228</v>
      </c>
      <c r="B1" s="5"/>
    </row>
    <row r="3" spans="1:2" ht="21" x14ac:dyDescent="0.35">
      <c r="A3" s="6" t="s">
        <v>229</v>
      </c>
    </row>
    <row r="4" spans="1:2" ht="21" x14ac:dyDescent="0.35">
      <c r="A4" s="6"/>
    </row>
    <row r="5" spans="1:2" ht="15.75" x14ac:dyDescent="0.25">
      <c r="A5" s="7" t="s">
        <v>250</v>
      </c>
    </row>
    <row r="7" spans="1:2" ht="15.75" x14ac:dyDescent="0.25">
      <c r="A7" s="7" t="s">
        <v>230</v>
      </c>
    </row>
    <row r="8" spans="1:2" s="9" customFormat="1" x14ac:dyDescent="0.25"/>
    <row r="11" spans="1:2" ht="18.75" x14ac:dyDescent="0.3">
      <c r="A11" s="8" t="s">
        <v>231</v>
      </c>
    </row>
    <row r="13" spans="1:2" x14ac:dyDescent="0.25">
      <c r="A13" t="s">
        <v>235</v>
      </c>
    </row>
    <row r="15" spans="1:2" x14ac:dyDescent="0.25">
      <c r="A15" t="s">
        <v>236</v>
      </c>
    </row>
    <row r="17" spans="1:1" x14ac:dyDescent="0.25">
      <c r="A17" t="s">
        <v>237</v>
      </c>
    </row>
    <row r="19" spans="1:1" x14ac:dyDescent="0.25">
      <c r="A19" t="s">
        <v>238</v>
      </c>
    </row>
    <row r="21" spans="1:1" s="9" customFormat="1" x14ac:dyDescent="0.25"/>
    <row r="24" spans="1:1" ht="18.75" x14ac:dyDescent="0.3">
      <c r="A24" s="8" t="s">
        <v>234</v>
      </c>
    </row>
    <row r="26" spans="1:1" x14ac:dyDescent="0.25">
      <c r="A26" t="s">
        <v>239</v>
      </c>
    </row>
    <row r="28" spans="1:1" x14ac:dyDescent="0.25">
      <c r="A28" t="s">
        <v>240</v>
      </c>
    </row>
    <row r="30" spans="1:1" x14ac:dyDescent="0.25">
      <c r="A30" t="s">
        <v>241</v>
      </c>
    </row>
    <row r="32" spans="1:1" x14ac:dyDescent="0.25">
      <c r="A32" t="s">
        <v>242</v>
      </c>
    </row>
    <row r="34" spans="1:1" s="9" customFormat="1" x14ac:dyDescent="0.25"/>
    <row r="37" spans="1:1" ht="18.75" x14ac:dyDescent="0.3">
      <c r="A37" s="8" t="s">
        <v>233</v>
      </c>
    </row>
    <row r="39" spans="1:1" x14ac:dyDescent="0.25">
      <c r="A39" t="s">
        <v>243</v>
      </c>
    </row>
    <row r="41" spans="1:1" x14ac:dyDescent="0.25">
      <c r="A41" t="s">
        <v>244</v>
      </c>
    </row>
    <row r="43" spans="1:1" x14ac:dyDescent="0.25">
      <c r="A43" t="s">
        <v>245</v>
      </c>
    </row>
    <row r="45" spans="1:1" s="9" customFormat="1" x14ac:dyDescent="0.25"/>
    <row r="48" spans="1:1" ht="18.75" x14ac:dyDescent="0.3">
      <c r="A48" s="8" t="s">
        <v>232</v>
      </c>
    </row>
    <row r="50" spans="1:1" x14ac:dyDescent="0.25">
      <c r="A50" t="s">
        <v>246</v>
      </c>
    </row>
    <row r="52" spans="1:1" x14ac:dyDescent="0.25">
      <c r="A52" t="s">
        <v>247</v>
      </c>
    </row>
    <row r="54" spans="1:1" x14ac:dyDescent="0.25">
      <c r="A54" t="s">
        <v>248</v>
      </c>
    </row>
    <row r="56" spans="1:1" x14ac:dyDescent="0.25">
      <c r="A56" t="s">
        <v>249</v>
      </c>
    </row>
    <row r="58" spans="1:1" s="9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2608A-2B8F-4CBF-8B96-3B1CA79D716C}">
  <dimension ref="A3:F41"/>
  <sheetViews>
    <sheetView showGridLines="0" workbookViewId="0">
      <selection activeCell="B35" sqref="B35"/>
    </sheetView>
  </sheetViews>
  <sheetFormatPr defaultRowHeight="15" x14ac:dyDescent="0.25"/>
  <cols>
    <col min="1" max="1" width="35.5703125" customWidth="1"/>
    <col min="2" max="2" width="31.28515625" bestFit="1" customWidth="1"/>
    <col min="3" max="3" width="11.5703125" style="3" customWidth="1"/>
    <col min="4" max="4" width="34" customWidth="1"/>
    <col min="5" max="5" width="30.85546875" customWidth="1"/>
    <col min="6" max="6" width="47.140625" customWidth="1"/>
    <col min="7" max="7" width="35" bestFit="1" customWidth="1"/>
    <col min="8" max="8" width="16.42578125" bestFit="1" customWidth="1"/>
  </cols>
  <sheetData>
    <row r="3" spans="1:5" ht="18.75" x14ac:dyDescent="0.3">
      <c r="A3" s="24" t="s">
        <v>199</v>
      </c>
      <c r="B3" s="25"/>
      <c r="D3" s="24" t="s">
        <v>198</v>
      </c>
      <c r="E3" s="25"/>
    </row>
    <row r="4" spans="1:5" x14ac:dyDescent="0.25">
      <c r="A4" s="29" t="s">
        <v>197</v>
      </c>
      <c r="B4" s="30" t="s">
        <v>224</v>
      </c>
      <c r="D4" s="11" t="s">
        <v>223</v>
      </c>
      <c r="E4" s="12" t="s">
        <v>224</v>
      </c>
    </row>
    <row r="5" spans="1:5" x14ac:dyDescent="0.25">
      <c r="A5" s="13" t="s">
        <v>92</v>
      </c>
      <c r="B5" s="14">
        <v>2</v>
      </c>
      <c r="D5" s="13" t="s">
        <v>138</v>
      </c>
      <c r="E5" s="14">
        <v>2</v>
      </c>
    </row>
    <row r="6" spans="1:5" x14ac:dyDescent="0.25">
      <c r="A6" s="13" t="s">
        <v>100</v>
      </c>
      <c r="B6" s="14">
        <v>2</v>
      </c>
      <c r="D6" s="13" t="s">
        <v>134</v>
      </c>
      <c r="E6" s="14">
        <v>2</v>
      </c>
    </row>
    <row r="7" spans="1:5" x14ac:dyDescent="0.25">
      <c r="A7" s="16" t="s">
        <v>107</v>
      </c>
      <c r="B7" s="17">
        <v>2</v>
      </c>
      <c r="D7" s="16" t="s">
        <v>142</v>
      </c>
      <c r="E7" s="17">
        <v>2</v>
      </c>
    </row>
    <row r="8" spans="1:5" s="25" customFormat="1" x14ac:dyDescent="0.25">
      <c r="A8" s="31"/>
      <c r="B8" s="10"/>
      <c r="C8" s="26"/>
      <c r="D8" s="33"/>
      <c r="E8" s="10"/>
    </row>
    <row r="9" spans="1:5" s="2" customFormat="1" ht="98.25" customHeight="1" x14ac:dyDescent="0.25">
      <c r="A9" s="32" t="s">
        <v>203</v>
      </c>
      <c r="B9" s="15" t="s">
        <v>204</v>
      </c>
      <c r="D9" s="32" t="s">
        <v>205</v>
      </c>
      <c r="E9" s="15" t="s">
        <v>206</v>
      </c>
    </row>
    <row r="10" spans="1:5" s="2" customFormat="1" x14ac:dyDescent="0.25"/>
    <row r="12" spans="1:5" ht="18.75" x14ac:dyDescent="0.3">
      <c r="A12" s="24" t="s">
        <v>200</v>
      </c>
      <c r="B12" s="25"/>
      <c r="D12" s="24" t="s">
        <v>202</v>
      </c>
      <c r="E12" s="25"/>
    </row>
    <row r="13" spans="1:5" x14ac:dyDescent="0.25">
      <c r="A13" s="29" t="s">
        <v>225</v>
      </c>
      <c r="B13" s="30" t="s">
        <v>224</v>
      </c>
      <c r="D13" s="11" t="s">
        <v>227</v>
      </c>
      <c r="E13" s="12" t="s">
        <v>224</v>
      </c>
    </row>
    <row r="14" spans="1:5" x14ac:dyDescent="0.25">
      <c r="A14" s="13" t="s">
        <v>57</v>
      </c>
      <c r="B14" s="14">
        <v>1</v>
      </c>
      <c r="D14" s="13" t="s">
        <v>171</v>
      </c>
      <c r="E14" s="14">
        <v>1</v>
      </c>
    </row>
    <row r="15" spans="1:5" x14ac:dyDescent="0.25">
      <c r="A15" s="13" t="s">
        <v>43</v>
      </c>
      <c r="B15" s="14">
        <v>3</v>
      </c>
      <c r="D15" s="13" t="s">
        <v>163</v>
      </c>
      <c r="E15" s="14">
        <v>1</v>
      </c>
    </row>
    <row r="16" spans="1:5" x14ac:dyDescent="0.25">
      <c r="A16" s="13" t="s">
        <v>24</v>
      </c>
      <c r="B16" s="14">
        <v>5</v>
      </c>
      <c r="D16" s="13" t="s">
        <v>142</v>
      </c>
      <c r="E16" s="14">
        <v>2</v>
      </c>
    </row>
    <row r="17" spans="1:6" x14ac:dyDescent="0.25">
      <c r="A17" s="13" t="s">
        <v>16</v>
      </c>
      <c r="B17" s="14">
        <v>3</v>
      </c>
      <c r="D17" s="16" t="s">
        <v>193</v>
      </c>
      <c r="E17" s="17">
        <v>1</v>
      </c>
    </row>
    <row r="18" spans="1:6" x14ac:dyDescent="0.25">
      <c r="A18" s="31"/>
      <c r="B18" s="10"/>
    </row>
    <row r="19" spans="1:6" s="2" customFormat="1" ht="90.75" customHeight="1" x14ac:dyDescent="0.25">
      <c r="A19" s="32" t="s">
        <v>207</v>
      </c>
      <c r="B19" s="15" t="s">
        <v>208</v>
      </c>
    </row>
    <row r="20" spans="1:6" s="2" customFormat="1" x14ac:dyDescent="0.25"/>
    <row r="21" spans="1:6" s="2" customFormat="1" x14ac:dyDescent="0.25"/>
    <row r="22" spans="1:6" ht="18.75" x14ac:dyDescent="0.3">
      <c r="A22" s="24" t="s">
        <v>201</v>
      </c>
      <c r="B22" s="25"/>
      <c r="D22" s="24" t="s">
        <v>222</v>
      </c>
      <c r="E22" s="25"/>
      <c r="F22" s="26"/>
    </row>
    <row r="23" spans="1:6" x14ac:dyDescent="0.25">
      <c r="A23" s="29" t="s">
        <v>226</v>
      </c>
      <c r="B23" s="30" t="s">
        <v>224</v>
      </c>
      <c r="D23" s="22" t="s">
        <v>209</v>
      </c>
      <c r="E23" s="22" t="s">
        <v>210</v>
      </c>
      <c r="F23" s="27" t="s">
        <v>211</v>
      </c>
    </row>
    <row r="24" spans="1:6" x14ac:dyDescent="0.25">
      <c r="A24" s="18" t="s">
        <v>171</v>
      </c>
      <c r="B24" s="19">
        <v>1</v>
      </c>
      <c r="D24" s="23" t="s">
        <v>212</v>
      </c>
      <c r="E24" s="23" t="s">
        <v>24</v>
      </c>
      <c r="F24" s="28" t="s">
        <v>213</v>
      </c>
    </row>
    <row r="25" spans="1:6" s="4" customFormat="1" x14ac:dyDescent="0.25">
      <c r="A25" s="18" t="s">
        <v>142</v>
      </c>
      <c r="B25" s="19">
        <v>2</v>
      </c>
      <c r="D25" s="23" t="s">
        <v>214</v>
      </c>
      <c r="E25" s="23" t="s">
        <v>24</v>
      </c>
      <c r="F25" s="28" t="s">
        <v>215</v>
      </c>
    </row>
    <row r="26" spans="1:6" s="4" customFormat="1" x14ac:dyDescent="0.25">
      <c r="A26" s="20" t="s">
        <v>179</v>
      </c>
      <c r="B26" s="21">
        <v>2</v>
      </c>
      <c r="D26" s="23" t="s">
        <v>216</v>
      </c>
      <c r="E26" s="23" t="s">
        <v>43</v>
      </c>
      <c r="F26" s="28" t="s">
        <v>217</v>
      </c>
    </row>
    <row r="27" spans="1:6" s="4" customFormat="1" x14ac:dyDescent="0.25">
      <c r="A27"/>
      <c r="B27"/>
      <c r="D27" s="23" t="s">
        <v>218</v>
      </c>
      <c r="E27" s="23" t="s">
        <v>24</v>
      </c>
      <c r="F27" s="28" t="s">
        <v>219</v>
      </c>
    </row>
    <row r="28" spans="1:6" s="4" customFormat="1" x14ac:dyDescent="0.25">
      <c r="D28" s="23" t="s">
        <v>220</v>
      </c>
      <c r="E28" s="23" t="s">
        <v>43</v>
      </c>
      <c r="F28" s="23" t="s">
        <v>221</v>
      </c>
    </row>
    <row r="29" spans="1:6" s="4" customFormat="1" x14ac:dyDescent="0.25">
      <c r="D29" s="23"/>
      <c r="E29" s="23"/>
      <c r="F29" s="23"/>
    </row>
    <row r="40" s="2" customFormat="1" x14ac:dyDescent="0.25"/>
    <row r="41" s="2" customFormat="1" x14ac:dyDescent="0.25"/>
  </sheetData>
  <pageMargins left="0.7" right="0.7" top="0.75" bottom="0.75" header="0.3" footer="0.3"/>
  <pageSetup orientation="portrait" horizontalDpi="4294967293" verticalDpi="0" r:id="rId6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7467F-04EA-4D7B-A21E-B6A35A163A49}">
  <dimension ref="A1:K13"/>
  <sheetViews>
    <sheetView workbookViewId="0">
      <selection activeCell="A4" sqref="A4"/>
    </sheetView>
  </sheetViews>
  <sheetFormatPr defaultRowHeight="15" x14ac:dyDescent="0.25"/>
  <cols>
    <col min="1" max="1" width="12.28515625" bestFit="1" customWidth="1"/>
    <col min="2" max="2" width="28.28515625" bestFit="1" customWidth="1"/>
    <col min="3" max="3" width="18.85546875" bestFit="1" customWidth="1"/>
    <col min="4" max="4" width="26.42578125" bestFit="1" customWidth="1"/>
    <col min="5" max="5" width="24" bestFit="1" customWidth="1"/>
    <col min="6" max="6" width="10.5703125" bestFit="1" customWidth="1"/>
    <col min="7" max="7" width="23.85546875" bestFit="1" customWidth="1"/>
    <col min="8" max="8" width="28.5703125" bestFit="1" customWidth="1"/>
    <col min="9" max="9" width="20.42578125" bestFit="1" customWidth="1"/>
    <col min="10" max="10" width="30" bestFit="1" customWidth="1"/>
    <col min="11" max="11" width="68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b">
        <v>1</v>
      </c>
      <c r="H2" t="b">
        <v>0</v>
      </c>
      <c r="I2" t="b">
        <v>1</v>
      </c>
      <c r="J2" t="s">
        <v>17</v>
      </c>
      <c r="K2" t="s">
        <v>18</v>
      </c>
    </row>
    <row r="3" spans="1:11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b">
        <v>0</v>
      </c>
      <c r="H3" t="b">
        <v>0</v>
      </c>
      <c r="I3" t="b">
        <v>1</v>
      </c>
      <c r="J3" t="s">
        <v>17</v>
      </c>
      <c r="K3" t="s">
        <v>25</v>
      </c>
    </row>
    <row r="4" spans="1:11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16</v>
      </c>
      <c r="G4" t="b">
        <v>0</v>
      </c>
      <c r="H4" t="b">
        <v>1</v>
      </c>
      <c r="I4" t="b">
        <v>1</v>
      </c>
      <c r="J4" t="s">
        <v>31</v>
      </c>
      <c r="K4" t="s">
        <v>32</v>
      </c>
    </row>
    <row r="5" spans="1:11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24</v>
      </c>
      <c r="G5" t="b">
        <v>1</v>
      </c>
      <c r="H5" t="b">
        <v>0</v>
      </c>
      <c r="I5" t="b">
        <v>1</v>
      </c>
      <c r="J5" t="s">
        <v>17</v>
      </c>
      <c r="K5" t="s">
        <v>38</v>
      </c>
    </row>
    <row r="6" spans="1:11" x14ac:dyDescent="0.25">
      <c r="A6" t="s">
        <v>39</v>
      </c>
      <c r="B6" t="s">
        <v>40</v>
      </c>
      <c r="C6" t="s">
        <v>41</v>
      </c>
      <c r="D6" t="s">
        <v>14</v>
      </c>
      <c r="E6" t="s">
        <v>42</v>
      </c>
      <c r="F6" t="s">
        <v>43</v>
      </c>
      <c r="G6" t="b">
        <v>0</v>
      </c>
      <c r="H6" t="b">
        <v>0</v>
      </c>
      <c r="I6" t="b">
        <v>1</v>
      </c>
      <c r="J6" t="s">
        <v>44</v>
      </c>
      <c r="K6" t="s">
        <v>45</v>
      </c>
    </row>
    <row r="7" spans="1:11" x14ac:dyDescent="0.25">
      <c r="A7" t="s">
        <v>46</v>
      </c>
      <c r="B7" t="s">
        <v>47</v>
      </c>
      <c r="C7" t="s">
        <v>21</v>
      </c>
      <c r="D7" t="s">
        <v>22</v>
      </c>
      <c r="E7" t="s">
        <v>23</v>
      </c>
      <c r="F7" t="s">
        <v>43</v>
      </c>
      <c r="G7" t="b">
        <v>0</v>
      </c>
      <c r="H7" t="b">
        <v>0</v>
      </c>
      <c r="I7" t="b">
        <v>1</v>
      </c>
      <c r="J7" t="s">
        <v>44</v>
      </c>
      <c r="K7" t="s">
        <v>48</v>
      </c>
    </row>
    <row r="8" spans="1:11" x14ac:dyDescent="0.25">
      <c r="A8" t="s">
        <v>49</v>
      </c>
      <c r="B8" t="s">
        <v>50</v>
      </c>
      <c r="C8" t="s">
        <v>13</v>
      </c>
      <c r="D8" t="s">
        <v>14</v>
      </c>
      <c r="E8" t="s">
        <v>15</v>
      </c>
      <c r="F8" t="s">
        <v>24</v>
      </c>
      <c r="G8" t="b">
        <v>1</v>
      </c>
      <c r="H8" t="b">
        <v>0</v>
      </c>
      <c r="I8" t="b">
        <v>1</v>
      </c>
      <c r="J8" t="s">
        <v>17</v>
      </c>
      <c r="K8" t="s">
        <v>51</v>
      </c>
    </row>
    <row r="9" spans="1:11" x14ac:dyDescent="0.25">
      <c r="A9" t="s">
        <v>52</v>
      </c>
      <c r="B9" t="s">
        <v>53</v>
      </c>
      <c r="C9" t="s">
        <v>28</v>
      </c>
      <c r="D9" t="s">
        <v>29</v>
      </c>
      <c r="E9" t="s">
        <v>30</v>
      </c>
      <c r="F9" t="s">
        <v>24</v>
      </c>
      <c r="G9" t="b">
        <v>0</v>
      </c>
      <c r="H9" t="b">
        <v>1</v>
      </c>
      <c r="I9" t="b">
        <v>1</v>
      </c>
      <c r="J9" t="s">
        <v>31</v>
      </c>
      <c r="K9" t="s">
        <v>54</v>
      </c>
    </row>
    <row r="10" spans="1:11" x14ac:dyDescent="0.25">
      <c r="A10" t="s">
        <v>55</v>
      </c>
      <c r="B10" t="s">
        <v>56</v>
      </c>
      <c r="C10" t="s">
        <v>35</v>
      </c>
      <c r="D10" t="s">
        <v>36</v>
      </c>
      <c r="E10" t="s">
        <v>37</v>
      </c>
      <c r="F10" t="s">
        <v>57</v>
      </c>
      <c r="G10" t="b">
        <v>0</v>
      </c>
      <c r="H10" t="b">
        <v>0</v>
      </c>
      <c r="I10" t="b">
        <v>1</v>
      </c>
      <c r="J10" t="s">
        <v>44</v>
      </c>
      <c r="K10" t="s">
        <v>58</v>
      </c>
    </row>
    <row r="11" spans="1:11" x14ac:dyDescent="0.25">
      <c r="A11" t="s">
        <v>59</v>
      </c>
      <c r="B11" t="s">
        <v>60</v>
      </c>
      <c r="C11" t="s">
        <v>13</v>
      </c>
      <c r="D11" t="s">
        <v>61</v>
      </c>
      <c r="E11" t="s">
        <v>15</v>
      </c>
      <c r="F11" t="s">
        <v>16</v>
      </c>
      <c r="G11" t="b">
        <v>1</v>
      </c>
      <c r="H11" t="b">
        <v>0</v>
      </c>
      <c r="I11" t="b">
        <v>1</v>
      </c>
      <c r="J11" t="s">
        <v>17</v>
      </c>
      <c r="K11" t="s">
        <v>62</v>
      </c>
    </row>
    <row r="12" spans="1:11" x14ac:dyDescent="0.25">
      <c r="A12" t="s">
        <v>63</v>
      </c>
      <c r="B12" t="s">
        <v>64</v>
      </c>
      <c r="C12" t="s">
        <v>41</v>
      </c>
      <c r="D12" t="s">
        <v>14</v>
      </c>
      <c r="E12" t="s">
        <v>42</v>
      </c>
      <c r="F12" t="s">
        <v>24</v>
      </c>
      <c r="G12" t="b">
        <v>0</v>
      </c>
      <c r="H12" t="b">
        <v>0</v>
      </c>
      <c r="I12" t="b">
        <v>1</v>
      </c>
      <c r="J12" t="s">
        <v>17</v>
      </c>
      <c r="K12" t="s">
        <v>65</v>
      </c>
    </row>
    <row r="13" spans="1:11" x14ac:dyDescent="0.25">
      <c r="A13" t="s">
        <v>66</v>
      </c>
      <c r="B13" t="s">
        <v>67</v>
      </c>
      <c r="C13" t="s">
        <v>41</v>
      </c>
      <c r="D13" t="s">
        <v>61</v>
      </c>
      <c r="E13" t="s">
        <v>42</v>
      </c>
      <c r="F13" t="s">
        <v>43</v>
      </c>
      <c r="G13" t="b">
        <v>0</v>
      </c>
      <c r="H13" t="b">
        <v>0</v>
      </c>
      <c r="I13" t="b">
        <v>0</v>
      </c>
      <c r="J13" t="s">
        <v>44</v>
      </c>
      <c r="K13" t="s">
        <v>68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45479-1801-4313-9168-A9E81A197D56}">
  <dimension ref="A1:U7"/>
  <sheetViews>
    <sheetView workbookViewId="0">
      <selection activeCell="A2" sqref="A2"/>
    </sheetView>
  </sheetViews>
  <sheetFormatPr defaultRowHeight="15" x14ac:dyDescent="0.25"/>
  <cols>
    <col min="1" max="1" width="22" bestFit="1" customWidth="1"/>
    <col min="2" max="2" width="12.28515625" bestFit="1" customWidth="1"/>
    <col min="3" max="3" width="14.42578125" bestFit="1" customWidth="1"/>
    <col min="4" max="4" width="10.140625" bestFit="1" customWidth="1"/>
    <col min="5" max="5" width="20" bestFit="1" customWidth="1"/>
    <col min="6" max="6" width="13.140625" bestFit="1" customWidth="1"/>
    <col min="7" max="7" width="25.28515625" bestFit="1" customWidth="1"/>
    <col min="8" max="8" width="22.140625" bestFit="1" customWidth="1"/>
    <col min="9" max="9" width="17" bestFit="1" customWidth="1"/>
    <col min="10" max="10" width="19.28515625" bestFit="1" customWidth="1"/>
    <col min="11" max="11" width="20.28515625" bestFit="1" customWidth="1"/>
    <col min="12" max="12" width="19.7109375" bestFit="1" customWidth="1"/>
    <col min="13" max="13" width="26" bestFit="1" customWidth="1"/>
    <col min="14" max="14" width="12.42578125" bestFit="1" customWidth="1"/>
    <col min="15" max="15" width="13.140625" bestFit="1" customWidth="1"/>
    <col min="16" max="16" width="24.28515625" bestFit="1" customWidth="1"/>
    <col min="17" max="17" width="28.5703125" bestFit="1" customWidth="1"/>
    <col min="18" max="18" width="26.42578125" bestFit="1" customWidth="1"/>
    <col min="19" max="19" width="25.7109375" bestFit="1" customWidth="1"/>
    <col min="20" max="20" width="18.5703125" bestFit="1" customWidth="1"/>
    <col min="21" max="21" width="78.28515625" bestFit="1" customWidth="1"/>
  </cols>
  <sheetData>
    <row r="1" spans="1:21" x14ac:dyDescent="0.25">
      <c r="A1" t="s">
        <v>69</v>
      </c>
      <c r="B1" t="s">
        <v>0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7</v>
      </c>
      <c r="R1" t="s">
        <v>84</v>
      </c>
      <c r="S1" t="s">
        <v>85</v>
      </c>
      <c r="T1" t="s">
        <v>86</v>
      </c>
      <c r="U1" t="s">
        <v>10</v>
      </c>
    </row>
    <row r="2" spans="1:21" x14ac:dyDescent="0.25">
      <c r="A2" t="s">
        <v>87</v>
      </c>
      <c r="B2" t="s">
        <v>19</v>
      </c>
      <c r="C2" t="s">
        <v>88</v>
      </c>
      <c r="D2" t="s">
        <v>89</v>
      </c>
      <c r="E2" t="s">
        <v>90</v>
      </c>
      <c r="F2" s="1">
        <v>46163</v>
      </c>
      <c r="G2" s="1">
        <v>46165</v>
      </c>
      <c r="H2" s="1">
        <v>46165</v>
      </c>
      <c r="I2" t="s">
        <v>91</v>
      </c>
      <c r="J2" t="s">
        <v>92</v>
      </c>
      <c r="K2">
        <v>60</v>
      </c>
      <c r="L2">
        <v>60</v>
      </c>
      <c r="M2" t="b">
        <v>1</v>
      </c>
      <c r="N2" t="b">
        <v>0</v>
      </c>
      <c r="O2">
        <v>0</v>
      </c>
      <c r="P2" t="b">
        <v>0</v>
      </c>
      <c r="Q2" t="b">
        <v>0</v>
      </c>
      <c r="R2" t="s">
        <v>16</v>
      </c>
      <c r="S2" t="b">
        <v>0</v>
      </c>
      <c r="T2" t="s">
        <v>93</v>
      </c>
      <c r="U2" t="s">
        <v>94</v>
      </c>
    </row>
    <row r="3" spans="1:21" x14ac:dyDescent="0.25">
      <c r="A3" t="s">
        <v>95</v>
      </c>
      <c r="B3" t="s">
        <v>26</v>
      </c>
      <c r="C3" t="s">
        <v>96</v>
      </c>
      <c r="D3" t="s">
        <v>97</v>
      </c>
      <c r="E3" t="s">
        <v>98</v>
      </c>
      <c r="F3" s="1">
        <v>46163</v>
      </c>
      <c r="G3" s="1">
        <v>46166</v>
      </c>
      <c r="H3" s="1"/>
      <c r="I3" t="s">
        <v>99</v>
      </c>
      <c r="J3" t="s">
        <v>100</v>
      </c>
      <c r="K3">
        <v>50</v>
      </c>
      <c r="L3">
        <v>40</v>
      </c>
      <c r="M3" t="b">
        <v>0</v>
      </c>
      <c r="N3" t="b">
        <v>1</v>
      </c>
      <c r="O3">
        <v>0</v>
      </c>
      <c r="P3" t="b">
        <v>1</v>
      </c>
      <c r="Q3" t="b">
        <v>0</v>
      </c>
      <c r="R3" t="s">
        <v>43</v>
      </c>
      <c r="S3" t="b">
        <v>1</v>
      </c>
      <c r="T3" t="s">
        <v>101</v>
      </c>
      <c r="U3" t="s">
        <v>102</v>
      </c>
    </row>
    <row r="4" spans="1:21" x14ac:dyDescent="0.25">
      <c r="A4" t="s">
        <v>103</v>
      </c>
      <c r="B4" t="s">
        <v>19</v>
      </c>
      <c r="C4" t="s">
        <v>104</v>
      </c>
      <c r="D4" t="s">
        <v>105</v>
      </c>
      <c r="E4" t="s">
        <v>106</v>
      </c>
      <c r="F4" s="1">
        <v>46163</v>
      </c>
      <c r="G4" s="1">
        <v>46165</v>
      </c>
      <c r="H4" s="1"/>
      <c r="I4" t="s">
        <v>107</v>
      </c>
      <c r="J4" t="s">
        <v>107</v>
      </c>
      <c r="K4">
        <v>45</v>
      </c>
      <c r="L4">
        <v>0</v>
      </c>
      <c r="M4" t="b">
        <v>0</v>
      </c>
      <c r="N4" t="b">
        <v>0</v>
      </c>
      <c r="O4">
        <v>0</v>
      </c>
      <c r="P4" t="b">
        <v>0</v>
      </c>
      <c r="Q4" t="b">
        <v>0</v>
      </c>
      <c r="R4" t="s">
        <v>24</v>
      </c>
      <c r="S4" t="b">
        <v>1</v>
      </c>
      <c r="T4" t="s">
        <v>108</v>
      </c>
      <c r="U4" t="s">
        <v>109</v>
      </c>
    </row>
    <row r="5" spans="1:21" x14ac:dyDescent="0.25">
      <c r="A5" t="s">
        <v>110</v>
      </c>
      <c r="B5" t="s">
        <v>39</v>
      </c>
      <c r="C5" t="s">
        <v>111</v>
      </c>
      <c r="D5" t="s">
        <v>112</v>
      </c>
      <c r="E5" t="s">
        <v>113</v>
      </c>
      <c r="F5" s="1">
        <v>46163</v>
      </c>
      <c r="G5" s="1">
        <v>46166</v>
      </c>
      <c r="H5" s="1"/>
      <c r="I5" t="s">
        <v>107</v>
      </c>
      <c r="J5" t="s">
        <v>107</v>
      </c>
      <c r="K5">
        <v>40</v>
      </c>
      <c r="L5">
        <v>0</v>
      </c>
      <c r="M5" t="b">
        <v>0</v>
      </c>
      <c r="N5" t="b">
        <v>0</v>
      </c>
      <c r="O5">
        <v>0</v>
      </c>
      <c r="P5" t="b">
        <v>0</v>
      </c>
      <c r="Q5" t="b">
        <v>0</v>
      </c>
      <c r="R5" t="s">
        <v>24</v>
      </c>
      <c r="S5" t="b">
        <v>0</v>
      </c>
      <c r="T5" t="s">
        <v>93</v>
      </c>
      <c r="U5" t="s">
        <v>114</v>
      </c>
    </row>
    <row r="6" spans="1:21" x14ac:dyDescent="0.25">
      <c r="A6" t="s">
        <v>115</v>
      </c>
      <c r="B6" t="s">
        <v>11</v>
      </c>
      <c r="C6" t="s">
        <v>116</v>
      </c>
      <c r="D6" t="s">
        <v>117</v>
      </c>
      <c r="E6" t="s">
        <v>90</v>
      </c>
      <c r="F6" s="1">
        <v>46162</v>
      </c>
      <c r="G6" s="1">
        <v>46164</v>
      </c>
      <c r="H6" s="1">
        <v>46164</v>
      </c>
      <c r="I6" t="s">
        <v>91</v>
      </c>
      <c r="J6" t="s">
        <v>92</v>
      </c>
      <c r="K6">
        <v>80</v>
      </c>
      <c r="L6">
        <v>80</v>
      </c>
      <c r="M6" t="b">
        <v>1</v>
      </c>
      <c r="N6" t="b">
        <v>0</v>
      </c>
      <c r="O6">
        <v>0</v>
      </c>
      <c r="P6" t="b">
        <v>0</v>
      </c>
      <c r="Q6" t="b">
        <v>0</v>
      </c>
      <c r="R6" t="s">
        <v>16</v>
      </c>
      <c r="S6" t="b">
        <v>0</v>
      </c>
      <c r="T6" t="s">
        <v>93</v>
      </c>
      <c r="U6" t="s">
        <v>118</v>
      </c>
    </row>
    <row r="7" spans="1:21" x14ac:dyDescent="0.25">
      <c r="A7" t="s">
        <v>119</v>
      </c>
      <c r="B7" t="s">
        <v>33</v>
      </c>
      <c r="C7" t="s">
        <v>120</v>
      </c>
      <c r="D7" t="s">
        <v>121</v>
      </c>
      <c r="E7" t="s">
        <v>106</v>
      </c>
      <c r="F7" s="1">
        <v>46163</v>
      </c>
      <c r="G7" s="1">
        <v>46165</v>
      </c>
      <c r="H7" s="1">
        <v>46166</v>
      </c>
      <c r="I7" t="s">
        <v>99</v>
      </c>
      <c r="J7" t="s">
        <v>100</v>
      </c>
      <c r="K7">
        <v>50</v>
      </c>
      <c r="L7">
        <v>35</v>
      </c>
      <c r="M7" t="b">
        <v>0</v>
      </c>
      <c r="N7" t="b">
        <v>1</v>
      </c>
      <c r="O7">
        <v>1</v>
      </c>
      <c r="P7" t="b">
        <v>1</v>
      </c>
      <c r="Q7" t="b">
        <v>0</v>
      </c>
      <c r="R7" t="s">
        <v>43</v>
      </c>
      <c r="S7" t="b">
        <v>1</v>
      </c>
      <c r="T7" t="s">
        <v>122</v>
      </c>
      <c r="U7" t="s">
        <v>123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1328-9BD8-4314-B9C9-AED50F3D5A28}">
  <dimension ref="A1:O7"/>
  <sheetViews>
    <sheetView workbookViewId="0"/>
  </sheetViews>
  <sheetFormatPr defaultRowHeight="15" x14ac:dyDescent="0.25"/>
  <cols>
    <col min="1" max="1" width="14.5703125" bestFit="1" customWidth="1"/>
    <col min="2" max="2" width="12.28515625" bestFit="1" customWidth="1"/>
    <col min="3" max="3" width="14.42578125" bestFit="1" customWidth="1"/>
    <col min="4" max="4" width="22" bestFit="1" customWidth="1"/>
    <col min="5" max="5" width="23" bestFit="1" customWidth="1"/>
    <col min="6" max="6" width="18.140625" bestFit="1" customWidth="1"/>
    <col min="7" max="7" width="24.140625" bestFit="1" customWidth="1"/>
    <col min="8" max="8" width="12" bestFit="1" customWidth="1"/>
    <col min="9" max="9" width="17.140625" bestFit="1" customWidth="1"/>
    <col min="10" max="10" width="25.7109375" bestFit="1" customWidth="1"/>
    <col min="11" max="11" width="26.42578125" bestFit="1" customWidth="1"/>
    <col min="12" max="12" width="18.5703125" bestFit="1" customWidth="1"/>
    <col min="13" max="13" width="14.42578125" bestFit="1" customWidth="1"/>
    <col min="14" max="14" width="32.28515625" bestFit="1" customWidth="1"/>
    <col min="15" max="15" width="78.7109375" bestFit="1" customWidth="1"/>
  </cols>
  <sheetData>
    <row r="1" spans="1:15" x14ac:dyDescent="0.25">
      <c r="A1" t="s">
        <v>124</v>
      </c>
      <c r="B1" t="s">
        <v>0</v>
      </c>
      <c r="C1" t="s">
        <v>70</v>
      </c>
      <c r="D1" t="s">
        <v>69</v>
      </c>
      <c r="E1" t="s">
        <v>125</v>
      </c>
      <c r="F1" t="s">
        <v>126</v>
      </c>
      <c r="G1" t="s">
        <v>127</v>
      </c>
      <c r="H1" t="s">
        <v>128</v>
      </c>
      <c r="I1" t="s">
        <v>129</v>
      </c>
      <c r="J1" t="s">
        <v>85</v>
      </c>
      <c r="K1" t="s">
        <v>84</v>
      </c>
      <c r="L1" t="s">
        <v>86</v>
      </c>
      <c r="M1" t="s">
        <v>130</v>
      </c>
      <c r="N1" t="s">
        <v>131</v>
      </c>
      <c r="O1" t="s">
        <v>10</v>
      </c>
    </row>
    <row r="2" spans="1:15" x14ac:dyDescent="0.25">
      <c r="A2" t="s">
        <v>132</v>
      </c>
      <c r="B2" t="s">
        <v>19</v>
      </c>
      <c r="C2" t="s">
        <v>88</v>
      </c>
      <c r="D2" t="s">
        <v>87</v>
      </c>
      <c r="E2" t="s">
        <v>133</v>
      </c>
      <c r="F2">
        <v>48</v>
      </c>
      <c r="G2">
        <v>48</v>
      </c>
      <c r="H2" t="s">
        <v>134</v>
      </c>
      <c r="I2" t="b">
        <v>0</v>
      </c>
      <c r="J2" t="b">
        <v>0</v>
      </c>
      <c r="K2" t="s">
        <v>16</v>
      </c>
      <c r="L2" t="s">
        <v>93</v>
      </c>
      <c r="M2" s="1">
        <v>46165</v>
      </c>
      <c r="N2" t="b">
        <v>0</v>
      </c>
      <c r="O2" t="s">
        <v>135</v>
      </c>
    </row>
    <row r="3" spans="1:15" x14ac:dyDescent="0.25">
      <c r="A3" t="s">
        <v>136</v>
      </c>
      <c r="B3" t="s">
        <v>26</v>
      </c>
      <c r="C3" t="s">
        <v>96</v>
      </c>
      <c r="D3" t="s">
        <v>95</v>
      </c>
      <c r="E3" t="s">
        <v>137</v>
      </c>
      <c r="F3">
        <v>72</v>
      </c>
      <c r="G3">
        <v>96</v>
      </c>
      <c r="H3" t="s">
        <v>138</v>
      </c>
      <c r="I3" t="b">
        <v>1</v>
      </c>
      <c r="J3" t="b">
        <v>1</v>
      </c>
      <c r="K3" t="s">
        <v>43</v>
      </c>
      <c r="L3" t="s">
        <v>101</v>
      </c>
      <c r="M3" s="1">
        <v>46166</v>
      </c>
      <c r="N3" t="b">
        <v>1</v>
      </c>
      <c r="O3" t="s">
        <v>139</v>
      </c>
    </row>
    <row r="4" spans="1:15" x14ac:dyDescent="0.25">
      <c r="A4" t="s">
        <v>140</v>
      </c>
      <c r="B4" t="s">
        <v>19</v>
      </c>
      <c r="C4" t="s">
        <v>104</v>
      </c>
      <c r="D4" t="s">
        <v>103</v>
      </c>
      <c r="E4" t="s">
        <v>141</v>
      </c>
      <c r="F4">
        <v>48</v>
      </c>
      <c r="G4">
        <v>48</v>
      </c>
      <c r="H4" t="s">
        <v>142</v>
      </c>
      <c r="I4" t="b">
        <v>0</v>
      </c>
      <c r="J4" t="b">
        <v>1</v>
      </c>
      <c r="K4" t="s">
        <v>24</v>
      </c>
      <c r="L4" t="s">
        <v>108</v>
      </c>
      <c r="M4" s="1">
        <v>46165</v>
      </c>
      <c r="N4" t="b">
        <v>0</v>
      </c>
      <c r="O4" t="s">
        <v>143</v>
      </c>
    </row>
    <row r="5" spans="1:15" x14ac:dyDescent="0.25">
      <c r="A5" t="s">
        <v>144</v>
      </c>
      <c r="B5" t="s">
        <v>39</v>
      </c>
      <c r="C5" t="s">
        <v>111</v>
      </c>
      <c r="D5" t="s">
        <v>110</v>
      </c>
      <c r="E5" t="s">
        <v>133</v>
      </c>
      <c r="F5">
        <v>72</v>
      </c>
      <c r="G5">
        <v>72</v>
      </c>
      <c r="H5" t="s">
        <v>142</v>
      </c>
      <c r="I5" t="b">
        <v>0</v>
      </c>
      <c r="J5" t="b">
        <v>0</v>
      </c>
      <c r="K5" t="s">
        <v>24</v>
      </c>
      <c r="L5" t="s">
        <v>93</v>
      </c>
      <c r="M5" s="1">
        <v>46166</v>
      </c>
      <c r="N5" t="b">
        <v>0</v>
      </c>
      <c r="O5" t="s">
        <v>145</v>
      </c>
    </row>
    <row r="6" spans="1:15" x14ac:dyDescent="0.25">
      <c r="A6" t="s">
        <v>146</v>
      </c>
      <c r="B6" t="s">
        <v>11</v>
      </c>
      <c r="C6" t="s">
        <v>116</v>
      </c>
      <c r="D6" t="s">
        <v>115</v>
      </c>
      <c r="E6" t="s">
        <v>133</v>
      </c>
      <c r="F6">
        <v>48</v>
      </c>
      <c r="G6">
        <v>48</v>
      </c>
      <c r="H6" t="s">
        <v>134</v>
      </c>
      <c r="I6" t="b">
        <v>0</v>
      </c>
      <c r="J6" t="b">
        <v>0</v>
      </c>
      <c r="K6" t="s">
        <v>16</v>
      </c>
      <c r="L6" t="s">
        <v>93</v>
      </c>
      <c r="M6" s="1">
        <v>46164</v>
      </c>
      <c r="N6" t="b">
        <v>0</v>
      </c>
      <c r="O6" t="s">
        <v>147</v>
      </c>
    </row>
    <row r="7" spans="1:15" x14ac:dyDescent="0.25">
      <c r="A7" t="s">
        <v>148</v>
      </c>
      <c r="B7" t="s">
        <v>33</v>
      </c>
      <c r="C7" t="s">
        <v>120</v>
      </c>
      <c r="D7" t="s">
        <v>119</v>
      </c>
      <c r="E7" t="s">
        <v>137</v>
      </c>
      <c r="F7">
        <v>48</v>
      </c>
      <c r="G7">
        <v>72</v>
      </c>
      <c r="H7" t="s">
        <v>138</v>
      </c>
      <c r="I7" t="b">
        <v>1</v>
      </c>
      <c r="J7" t="b">
        <v>1</v>
      </c>
      <c r="K7" t="s">
        <v>43</v>
      </c>
      <c r="L7" t="s">
        <v>122</v>
      </c>
      <c r="M7" s="1">
        <v>46166</v>
      </c>
      <c r="N7" t="b">
        <v>1</v>
      </c>
      <c r="O7" t="s">
        <v>149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47ABE-97EB-4CF7-BFC6-3959E784D7DA}">
  <dimension ref="A1:Q6"/>
  <sheetViews>
    <sheetView workbookViewId="0">
      <selection sqref="A1:A6"/>
    </sheetView>
  </sheetViews>
  <sheetFormatPr defaultRowHeight="15" x14ac:dyDescent="0.25"/>
  <cols>
    <col min="1" max="1" width="21.5703125" bestFit="1" customWidth="1"/>
    <col min="2" max="2" width="12.28515625" bestFit="1" customWidth="1"/>
    <col min="3" max="3" width="24" bestFit="1" customWidth="1"/>
    <col min="4" max="4" width="25.28515625" bestFit="1" customWidth="1"/>
    <col min="5" max="5" width="27.140625" bestFit="1" customWidth="1"/>
    <col min="6" max="6" width="81.140625" bestFit="1" customWidth="1"/>
    <col min="7" max="7" width="14.5703125" bestFit="1" customWidth="1"/>
    <col min="8" max="8" width="22" bestFit="1" customWidth="1"/>
    <col min="9" max="9" width="18.5703125" bestFit="1" customWidth="1"/>
    <col min="10" max="10" width="23.140625" bestFit="1" customWidth="1"/>
    <col min="11" max="11" width="81.140625" bestFit="1" customWidth="1"/>
    <col min="12" max="12" width="23.42578125" bestFit="1" customWidth="1"/>
    <col min="13" max="13" width="20.7109375" bestFit="1" customWidth="1"/>
    <col min="14" max="14" width="17.42578125" bestFit="1" customWidth="1"/>
    <col min="15" max="15" width="25.7109375" bestFit="1" customWidth="1"/>
    <col min="16" max="16" width="30.140625" bestFit="1" customWidth="1"/>
    <col min="17" max="17" width="67.28515625" bestFit="1" customWidth="1"/>
  </cols>
  <sheetData>
    <row r="1" spans="1:17" x14ac:dyDescent="0.25">
      <c r="A1" t="s">
        <v>150</v>
      </c>
      <c r="B1" t="s">
        <v>0</v>
      </c>
      <c r="C1" t="s">
        <v>151</v>
      </c>
      <c r="D1" t="s">
        <v>152</v>
      </c>
      <c r="E1" t="s">
        <v>153</v>
      </c>
      <c r="F1" t="s">
        <v>154</v>
      </c>
      <c r="G1" t="s">
        <v>124</v>
      </c>
      <c r="H1" t="s">
        <v>69</v>
      </c>
      <c r="I1" t="s">
        <v>86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85</v>
      </c>
      <c r="P1" t="s">
        <v>160</v>
      </c>
      <c r="Q1" t="s">
        <v>10</v>
      </c>
    </row>
    <row r="2" spans="1:17" x14ac:dyDescent="0.25">
      <c r="A2" t="s">
        <v>161</v>
      </c>
      <c r="B2" t="s">
        <v>26</v>
      </c>
      <c r="C2" t="s">
        <v>162</v>
      </c>
      <c r="D2" t="s">
        <v>142</v>
      </c>
      <c r="E2" t="s">
        <v>163</v>
      </c>
      <c r="F2" t="s">
        <v>164</v>
      </c>
      <c r="G2" t="s">
        <v>136</v>
      </c>
      <c r="H2" t="s">
        <v>95</v>
      </c>
      <c r="I2" t="s">
        <v>101</v>
      </c>
      <c r="J2" t="s">
        <v>165</v>
      </c>
      <c r="K2" t="s">
        <v>166</v>
      </c>
      <c r="L2" s="1">
        <v>46166</v>
      </c>
      <c r="M2" s="1">
        <v>46180</v>
      </c>
      <c r="N2" t="s">
        <v>167</v>
      </c>
      <c r="O2" t="b">
        <v>1</v>
      </c>
      <c r="P2" t="b">
        <v>0</v>
      </c>
      <c r="Q2" t="s">
        <v>168</v>
      </c>
    </row>
    <row r="3" spans="1:17" x14ac:dyDescent="0.25">
      <c r="A3" t="s">
        <v>169</v>
      </c>
      <c r="B3" t="s">
        <v>33</v>
      </c>
      <c r="C3" t="s">
        <v>170</v>
      </c>
      <c r="D3" t="s">
        <v>171</v>
      </c>
      <c r="E3" t="s">
        <v>171</v>
      </c>
      <c r="F3" t="s">
        <v>172</v>
      </c>
      <c r="G3" t="s">
        <v>148</v>
      </c>
      <c r="H3" t="s">
        <v>119</v>
      </c>
      <c r="I3" t="s">
        <v>122</v>
      </c>
      <c r="J3" t="s">
        <v>173</v>
      </c>
      <c r="K3" t="s">
        <v>174</v>
      </c>
      <c r="L3" s="1">
        <v>46166</v>
      </c>
      <c r="M3" s="1">
        <v>46183</v>
      </c>
      <c r="N3" t="s">
        <v>175</v>
      </c>
      <c r="O3" t="b">
        <v>1</v>
      </c>
      <c r="P3" t="b">
        <v>0</v>
      </c>
      <c r="Q3" t="s">
        <v>176</v>
      </c>
    </row>
    <row r="4" spans="1:17" x14ac:dyDescent="0.25">
      <c r="A4" t="s">
        <v>177</v>
      </c>
      <c r="B4" t="s">
        <v>19</v>
      </c>
      <c r="C4" t="s">
        <v>178</v>
      </c>
      <c r="D4" t="s">
        <v>179</v>
      </c>
      <c r="E4" t="s">
        <v>142</v>
      </c>
      <c r="F4" t="s">
        <v>180</v>
      </c>
      <c r="G4" t="s">
        <v>140</v>
      </c>
      <c r="H4" t="s">
        <v>103</v>
      </c>
      <c r="I4" t="s">
        <v>108</v>
      </c>
      <c r="J4" t="s">
        <v>181</v>
      </c>
      <c r="K4" t="s">
        <v>182</v>
      </c>
      <c r="L4" s="1">
        <v>46165</v>
      </c>
      <c r="M4" s="1">
        <v>46172</v>
      </c>
      <c r="N4" t="s">
        <v>183</v>
      </c>
      <c r="O4" t="b">
        <v>0</v>
      </c>
      <c r="P4" t="b">
        <v>1</v>
      </c>
      <c r="Q4" t="s">
        <v>184</v>
      </c>
    </row>
    <row r="5" spans="1:17" x14ac:dyDescent="0.25">
      <c r="A5" t="s">
        <v>185</v>
      </c>
      <c r="B5" t="s">
        <v>39</v>
      </c>
      <c r="C5" t="s">
        <v>186</v>
      </c>
      <c r="D5" t="s">
        <v>142</v>
      </c>
      <c r="E5" t="s">
        <v>142</v>
      </c>
      <c r="F5" t="s">
        <v>187</v>
      </c>
      <c r="G5" t="s">
        <v>144</v>
      </c>
      <c r="H5" t="s">
        <v>110</v>
      </c>
      <c r="I5" t="s">
        <v>93</v>
      </c>
      <c r="J5" t="s">
        <v>188</v>
      </c>
      <c r="K5" t="s">
        <v>189</v>
      </c>
      <c r="L5" s="1">
        <v>46166</v>
      </c>
      <c r="M5" s="1">
        <v>46187</v>
      </c>
      <c r="N5" t="s">
        <v>142</v>
      </c>
      <c r="O5" t="b">
        <v>0</v>
      </c>
      <c r="P5" t="b">
        <v>0</v>
      </c>
      <c r="Q5" t="s">
        <v>190</v>
      </c>
    </row>
    <row r="6" spans="1:17" x14ac:dyDescent="0.25">
      <c r="A6" t="s">
        <v>191</v>
      </c>
      <c r="B6" t="s">
        <v>11</v>
      </c>
      <c r="C6" t="s">
        <v>192</v>
      </c>
      <c r="D6" t="s">
        <v>179</v>
      </c>
      <c r="E6" t="s">
        <v>193</v>
      </c>
      <c r="F6" t="s">
        <v>194</v>
      </c>
      <c r="G6" t="s">
        <v>146</v>
      </c>
      <c r="H6" t="s">
        <v>115</v>
      </c>
      <c r="I6" t="s">
        <v>93</v>
      </c>
      <c r="J6" t="s">
        <v>165</v>
      </c>
      <c r="K6" t="s">
        <v>195</v>
      </c>
      <c r="L6" s="1">
        <v>46164</v>
      </c>
      <c r="M6" s="1">
        <v>46169</v>
      </c>
      <c r="N6" t="s">
        <v>183</v>
      </c>
      <c r="O6" t="b">
        <v>0</v>
      </c>
      <c r="P6" t="b">
        <v>1</v>
      </c>
      <c r="Q6" t="s">
        <v>196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A0D08C-107C-4505-8156-F30DA6F77A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PivotTables</vt:lpstr>
      <vt:lpstr>vendor-master</vt:lpstr>
      <vt:lpstr>vendor-fulfillment-events</vt:lpstr>
      <vt:lpstr>vendor-sla-tracking</vt:lpstr>
      <vt:lpstr>vendor-corrective-actions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webber</dc:creator>
  <cp:lastModifiedBy>austin webber</cp:lastModifiedBy>
  <dcterms:created xsi:type="dcterms:W3CDTF">2015-06-05T18:17:20Z</dcterms:created>
  <dcterms:modified xsi:type="dcterms:W3CDTF">2026-06-05T21:23:19Z</dcterms:modified>
</cp:coreProperties>
</file>