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reporting-and-kpis/"/>
    </mc:Choice>
  </mc:AlternateContent>
  <xr:revisionPtr revIDLastSave="126" documentId="11_F25DC773A252ABDACC104871895B64DE5BDE58EE" xr6:coauthVersionLast="47" xr6:coauthVersionMax="47" xr10:uidLastSave="{FBCA1632-018B-4379-AFF7-3C8B05D46228}"/>
  <bookViews>
    <workbookView xWindow="2160" yWindow="2160" windowWidth="16515" windowHeight="16380" activeTab="1" xr2:uid="{00000000-000D-0000-FFFF-FFFF00000000}"/>
  </bookViews>
  <sheets>
    <sheet name="Raw Ticket Data" sheetId="2" r:id="rId1"/>
    <sheet name="Pivot Tables" sheetId="8" r:id="rId2"/>
  </sheets>
  <definedNames>
    <definedName name="ExternalData_1" localSheetId="0" hidden="1">'Raw Ticket Data'!$A$1:$T$16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F8A68A-4408-4E5A-891B-2D7A7C7E8CAB}" keepAlive="1" name="Query - tickets-v1" description="Connection to the 'tickets-v1' query in the workbook." type="5" refreshedVersion="8" background="1" saveData="1">
    <dbPr connection="Provider=Microsoft.Mashup.OleDb.1;Data Source=$Workbook$;Location=tickets-v1;Extended Properties=&quot;&quot;" command="SELECT * FROM [tickets-v1]"/>
  </connection>
</connections>
</file>

<file path=xl/sharedStrings.xml><?xml version="1.0" encoding="utf-8"?>
<sst xmlns="http://schemas.openxmlformats.org/spreadsheetml/2006/main" count="196" uniqueCount="102">
  <si>
    <t>ticket_id</t>
  </si>
  <si>
    <t>created_at</t>
  </si>
  <si>
    <t>first_response_at</t>
  </si>
  <si>
    <t>resolved_at</t>
  </si>
  <si>
    <t>closed_at</t>
  </si>
  <si>
    <t>category</t>
  </si>
  <si>
    <t>priority</t>
  </si>
  <si>
    <t>status</t>
  </si>
  <si>
    <t>requesting_location</t>
  </si>
  <si>
    <t>assigned_department</t>
  </si>
  <si>
    <t>assigned_owner</t>
  </si>
  <si>
    <t>escalation_flag</t>
  </si>
  <si>
    <t>reopened_flag</t>
  </si>
  <si>
    <t>pending_flag</t>
  </si>
  <si>
    <t>sla_target_hours</t>
  </si>
  <si>
    <t>resolution_hours</t>
  </si>
  <si>
    <t>response_hours</t>
  </si>
  <si>
    <t>sla_met_flag</t>
  </si>
  <si>
    <t>summary</t>
  </si>
  <si>
    <t>resolution_notes</t>
  </si>
  <si>
    <t>INC-100001</t>
  </si>
  <si>
    <t>Inventory &amp; Supply</t>
  </si>
  <si>
    <t>Priority 2 — High</t>
  </si>
  <si>
    <t>Closed</t>
  </si>
  <si>
    <t>Raleigh Specialty Clinic 03</t>
  </si>
  <si>
    <t>Supply &amp; Inventory Operations</t>
  </si>
  <si>
    <t>Jordan Lee</t>
  </si>
  <si>
    <t>Inventory shortage reported for high-use clinical supply</t>
  </si>
  <si>
    <t>Emergency inventory transfer completed from Cary Distribution Hub 01</t>
  </si>
  <si>
    <t>INC-100002</t>
  </si>
  <si>
    <t>Vendor &amp; Delivery Management</t>
  </si>
  <si>
    <t>Durham Outpatient Clinic 07</t>
  </si>
  <si>
    <t>Vendor &amp; Service Management</t>
  </si>
  <si>
    <t>Samantha Ortiz</t>
  </si>
  <si>
    <t>Delayed vendor shipment impacting clinic inventory availability</t>
  </si>
  <si>
    <t>Vendor escalation completed and expedited replacement shipment arranged</t>
  </si>
  <si>
    <t>INC-100003</t>
  </si>
  <si>
    <t>Scheduling &amp; Resource Coordination</t>
  </si>
  <si>
    <t>Priority 3 — Moderate</t>
  </si>
  <si>
    <t>Wake Forest Clinic 11</t>
  </si>
  <si>
    <t>Clinical Operations Support</t>
  </si>
  <si>
    <t>Marcus Nguyen</t>
  </si>
  <si>
    <t>Staff scheduling conflict affecting afternoon patient support coverage</t>
  </si>
  <si>
    <t>Temporary staffing reassignment coordinated successfully</t>
  </si>
  <si>
    <t>INC-100004</t>
  </si>
  <si>
    <t>Data Quality &amp; Compliance</t>
  </si>
  <si>
    <t>In Progress</t>
  </si>
  <si>
    <t>Avery Patel</t>
  </si>
  <si>
    <t>Duplicate operational records identified during reporting audit</t>
  </si>
  <si>
    <t/>
  </si>
  <si>
    <t>INC-100005</t>
  </si>
  <si>
    <t>Operational Incident</t>
  </si>
  <si>
    <t>Priority 1 — Critical</t>
  </si>
  <si>
    <t>Cary Distribution Hub 01</t>
  </si>
  <si>
    <t>Operations Coordination Center</t>
  </si>
  <si>
    <t>Taylor Brooks</t>
  </si>
  <si>
    <t>Distribution workflow interruption impacting multiple clinic deliveries</t>
  </si>
  <si>
    <t>Emergency operational rerouting initiated and distribution backlog stabilized</t>
  </si>
  <si>
    <t>INC-100006</t>
  </si>
  <si>
    <t>Routine inventory replenishment delay reported</t>
  </si>
  <si>
    <t>Inventory restock completed through regional transfer coordination</t>
  </si>
  <si>
    <t>INC-100007</t>
  </si>
  <si>
    <t>Pending</t>
  </si>
  <si>
    <t>Vendor shipment tracking unavailable during scheduled delivery window</t>
  </si>
  <si>
    <t>INC-100008</t>
  </si>
  <si>
    <t>Technical &amp; Systems Support</t>
  </si>
  <si>
    <t>Operational Analytics &amp; Reporting</t>
  </si>
  <si>
    <t>Dashboard access permissions preventing operational reporting review</t>
  </si>
  <si>
    <t>User access permissions corrected and validated successfully</t>
  </si>
  <si>
    <t>INC-100009</t>
  </si>
  <si>
    <t>Unexpected staffing shortage impacting morning operational support coverage</t>
  </si>
  <si>
    <t>Temporary staffing support coordinated through regional scheduling pool</t>
  </si>
  <si>
    <t>INC-100010</t>
  </si>
  <si>
    <t>Operational reporting discrepancies identified during audit validation</t>
  </si>
  <si>
    <t>Duplicate reporting records corrected and audit reconciliation completed</t>
  </si>
  <si>
    <t>INC-100011</t>
  </si>
  <si>
    <t>Clinical intake workflow interruption affecting patient scheduling operations</t>
  </si>
  <si>
    <t>Emergency operational rerouting restored intake continuity</t>
  </si>
  <si>
    <t>INC-100012</t>
  </si>
  <si>
    <t>Backordered inventory item impacting scheduled clinic procedure availability</t>
  </si>
  <si>
    <t>INC-100013</t>
  </si>
  <si>
    <t>Vendor labeling discrepancy identified during inbound shipment review</t>
  </si>
  <si>
    <t>Corrected shipment documentation received and verified</t>
  </si>
  <si>
    <t>INC-100014</t>
  </si>
  <si>
    <t>Operational workflow disruption caused by regional network outage</t>
  </si>
  <si>
    <t>Temporary offline workflow procedures implemented until restoration completed</t>
  </si>
  <si>
    <t>INC-100015</t>
  </si>
  <si>
    <t>Priority 4 — Low</t>
  </si>
  <si>
    <t>Assigned</t>
  </si>
  <si>
    <t>Historical reporting documentation request submitted for compliance review</t>
  </si>
  <si>
    <t>Grand Total</t>
  </si>
  <si>
    <t>FALSE</t>
  </si>
  <si>
    <t>TRUE</t>
  </si>
  <si>
    <t>(blank)</t>
  </si>
  <si>
    <t>Ticket Volume by Category</t>
  </si>
  <si>
    <t>Ticket Volume by Department</t>
  </si>
  <si>
    <t>SLA Compliance</t>
  </si>
  <si>
    <t>Escalation Analysis</t>
  </si>
  <si>
    <t>SLA by Priority</t>
  </si>
  <si>
    <t>Ticket Count</t>
  </si>
  <si>
    <t>Operational KPI Summary Workspace</t>
  </si>
  <si>
    <t>Open /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</si>
</sst>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0" fontId="1" fillId="0" borderId="1" xfId="1"/>
    <xf numFmtId="0" fontId="1" fillId="0" borderId="1" xfId="1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Heading 1" xfId="1" builtinId="16"/>
    <cellStyle name="Normal" xfId="0" builtinId="0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2.590005902777" createdVersion="8" refreshedVersion="8" minRefreshableVersion="3" recordCount="15" xr:uid="{9D7E426B-AAB8-49CA-A43C-947026B00E61}">
  <cacheSource type="worksheet">
    <worksheetSource name="tickets_v1"/>
  </cacheSource>
  <cacheFields count="20">
    <cacheField name="ticket_id" numFmtId="0">
      <sharedItems/>
    </cacheField>
    <cacheField name="created_at" numFmtId="22">
      <sharedItems containsSemiMixedTypes="0" containsNonDate="0" containsDate="1" containsString="0" minDate="2026-05-20T08:12:00" maxDate="2026-05-21T11:33:00"/>
    </cacheField>
    <cacheField name="first_response_at" numFmtId="22">
      <sharedItems containsSemiMixedTypes="0" containsNonDate="0" containsDate="1" containsString="0" minDate="2026-05-20T08:24:00" maxDate="2026-05-21T12:02:00"/>
    </cacheField>
    <cacheField name="resolved_at" numFmtId="22">
      <sharedItems containsNonDate="0" containsDate="1" containsString="0" containsBlank="1" minDate="2026-05-20T10:45:00" maxDate="2026-05-22T15:42:00"/>
    </cacheField>
    <cacheField name="closed_at" numFmtId="22">
      <sharedItems containsNonDate="0" containsDate="1" containsString="0" containsBlank="1" minDate="2026-05-20T11:02:00" maxDate="2026-05-22T16:10:00"/>
    </cacheField>
    <cacheField name="category" numFmtId="0">
      <sharedItems count="6">
        <s v="Inventory &amp; Supply"/>
        <s v="Vendor &amp; Delivery Management"/>
        <s v="Scheduling &amp; Resource Coordination"/>
        <s v="Data Quality &amp; Compliance"/>
        <s v="Operational Incident"/>
        <s v="Technical &amp; Systems Support"/>
      </sharedItems>
    </cacheField>
    <cacheField name="priority" numFmtId="0">
      <sharedItems count="4">
        <s v="Priority 2 — High"/>
        <s v="Priority 3 — Moderate"/>
        <s v="Priority 1 — Critical"/>
        <s v="Priority 4 — Low"/>
      </sharedItems>
    </cacheField>
    <cacheField name="status" numFmtId="0">
      <sharedItems/>
    </cacheField>
    <cacheField name="requesting_location" numFmtId="0">
      <sharedItems/>
    </cacheField>
    <cacheField name="assigned_department" numFmtId="0">
      <sharedItems count="6">
        <s v="Supply &amp; Inventory Operations"/>
        <s v="Vendor &amp; Service Management"/>
        <s v="Clinical Operations Support"/>
        <s v="Data Quality &amp; Compliance"/>
        <s v="Operations Coordination Center"/>
        <s v="Operational Analytics &amp; Reporting"/>
      </sharedItems>
    </cacheField>
    <cacheField name="assigned_owner" numFmtId="0">
      <sharedItems/>
    </cacheField>
    <cacheField name="escalation_flag" numFmtId="0">
      <sharedItems count="2">
        <b v="0"/>
        <b v="1"/>
      </sharedItems>
    </cacheField>
    <cacheField name="reopened_flag" numFmtId="0">
      <sharedItems/>
    </cacheField>
    <cacheField name="pending_flag" numFmtId="0">
      <sharedItems/>
    </cacheField>
    <cacheField name="sla_target_hours" numFmtId="0">
      <sharedItems containsSemiMixedTypes="0" containsString="0" containsNumber="1" containsInteger="1" minValue="4" maxValue="120"/>
    </cacheField>
    <cacheField name="resolution_hours" numFmtId="0">
      <sharedItems containsString="0" containsBlank="1" containsNumber="1" minValue="1.78" maxValue="41.23"/>
    </cacheField>
    <cacheField name="response_hours" numFmtId="0">
      <sharedItems containsSemiMixedTypes="0" containsString="0" containsNumber="1" minValue="0.2" maxValue="0.78"/>
    </cacheField>
    <cacheField name="sla_met_flag" numFmtId="0">
      <sharedItems containsBlank="1" count="3">
        <b v="1"/>
        <b v="0"/>
        <m/>
      </sharedItems>
    </cacheField>
    <cacheField name="summary" numFmtId="0">
      <sharedItems/>
    </cacheField>
    <cacheField name="resolution_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INC-100001"/>
    <d v="2026-05-20T08:12:00"/>
    <d v="2026-05-20T08:24:00"/>
    <d v="2026-05-20T10:45:00"/>
    <d v="2026-05-20T11:02:00"/>
    <x v="0"/>
    <x v="0"/>
    <s v="Closed"/>
    <s v="Raleigh Specialty Clinic 03"/>
    <x v="0"/>
    <s v="Jordan Lee"/>
    <x v="0"/>
    <b v="0"/>
    <b v="0"/>
    <n v="24"/>
    <n v="2.5499999999999998"/>
    <n v="0.2"/>
    <x v="0"/>
    <s v="Inventory shortage reported for high-use clinical supply"/>
    <s v="Emergency inventory transfer completed from Cary Distribution Hub 01"/>
  </r>
  <r>
    <s v="INC-100002"/>
    <d v="2026-05-20T09:03:00"/>
    <d v="2026-05-20T09:40:00"/>
    <d v="2026-05-21T14:15:00"/>
    <d v="2026-05-21T14:42:00"/>
    <x v="1"/>
    <x v="0"/>
    <s v="Closed"/>
    <s v="Durham Outpatient Clinic 07"/>
    <x v="1"/>
    <s v="Samantha Ortiz"/>
    <x v="1"/>
    <b v="0"/>
    <b v="1"/>
    <n v="24"/>
    <n v="29.2"/>
    <n v="0.62"/>
    <x v="1"/>
    <s v="Delayed vendor shipment impacting clinic inventory availability"/>
    <s v="Vendor escalation completed and expedited replacement shipment arranged"/>
  </r>
  <r>
    <s v="INC-100003"/>
    <d v="2026-05-20T10:11:00"/>
    <d v="2026-05-20T10:29:00"/>
    <d v="2026-05-20T13:48:00"/>
    <d v="2026-05-20T14:03:00"/>
    <x v="2"/>
    <x v="1"/>
    <s v="Closed"/>
    <s v="Wake Forest Clinic 11"/>
    <x v="2"/>
    <s v="Marcus Nguyen"/>
    <x v="0"/>
    <b v="0"/>
    <b v="0"/>
    <n v="72"/>
    <n v="3.62"/>
    <n v="0.3"/>
    <x v="0"/>
    <s v="Staff scheduling conflict affecting afternoon patient support coverage"/>
    <s v="Temporary staffing reassignment coordinated successfully"/>
  </r>
  <r>
    <s v="INC-100004"/>
    <d v="2026-05-20T11:26:00"/>
    <d v="2026-05-20T11:55:00"/>
    <m/>
    <m/>
    <x v="3"/>
    <x v="1"/>
    <s v="In Progress"/>
    <s v="Raleigh Specialty Clinic 03"/>
    <x v="3"/>
    <s v="Avery Patel"/>
    <x v="0"/>
    <b v="0"/>
    <b v="0"/>
    <n v="72"/>
    <m/>
    <n v="0.48"/>
    <x v="2"/>
    <s v="Duplicate operational records identified during reporting audit"/>
    <s v=""/>
  </r>
  <r>
    <s v="INC-100005"/>
    <d v="2026-05-20T13:18:00"/>
    <d v="2026-05-20T13:52:00"/>
    <d v="2026-05-21T09:14:00"/>
    <d v="2026-05-21T09:40:00"/>
    <x v="4"/>
    <x v="2"/>
    <s v="Closed"/>
    <s v="Cary Distribution Hub 01"/>
    <x v="4"/>
    <s v="Taylor Brooks"/>
    <x v="1"/>
    <b v="0"/>
    <b v="0"/>
    <n v="4"/>
    <n v="19.93"/>
    <n v="0.56999999999999995"/>
    <x v="1"/>
    <s v="Distribution workflow interruption impacting multiple clinic deliveries"/>
    <s v="Emergency operational rerouting initiated and distribution backlog stabilized"/>
  </r>
  <r>
    <s v="INC-100006"/>
    <d v="2026-05-20T14:02:00"/>
    <d v="2026-05-20T14:25:00"/>
    <d v="2026-05-20T16:18:00"/>
    <d v="2026-05-20T16:40:00"/>
    <x v="0"/>
    <x v="1"/>
    <s v="Closed"/>
    <s v="Durham Outpatient Clinic 07"/>
    <x v="0"/>
    <s v="Jordan Lee"/>
    <x v="0"/>
    <b v="0"/>
    <b v="0"/>
    <n v="72"/>
    <n v="2.27"/>
    <n v="0.38"/>
    <x v="0"/>
    <s v="Routine inventory replenishment delay reported"/>
    <s v="Inventory restock completed through regional transfer coordination"/>
  </r>
  <r>
    <s v="INC-100007"/>
    <d v="2026-05-20T15:44:00"/>
    <d v="2026-05-20T16:28:00"/>
    <m/>
    <m/>
    <x v="1"/>
    <x v="0"/>
    <s v="Pending"/>
    <s v="Wake Forest Clinic 11"/>
    <x v="1"/>
    <s v="Samantha Ortiz"/>
    <x v="1"/>
    <b v="0"/>
    <b v="1"/>
    <n v="24"/>
    <m/>
    <n v="0.73"/>
    <x v="2"/>
    <s v="Vendor shipment tracking unavailable during scheduled delivery window"/>
    <s v=""/>
  </r>
  <r>
    <s v="INC-100008"/>
    <d v="2026-05-20T16:15:00"/>
    <d v="2026-05-20T16:41:00"/>
    <d v="2026-05-20T18:02:00"/>
    <d v="2026-05-20T18:18:00"/>
    <x v="5"/>
    <x v="1"/>
    <s v="Closed"/>
    <s v="Raleigh Specialty Clinic 03"/>
    <x v="5"/>
    <s v="Avery Patel"/>
    <x v="0"/>
    <b v="0"/>
    <b v="0"/>
    <n v="72"/>
    <n v="1.78"/>
    <n v="0.43"/>
    <x v="0"/>
    <s v="Dashboard access permissions preventing operational reporting review"/>
    <s v="User access permissions corrected and validated successfully"/>
  </r>
  <r>
    <s v="INC-100009"/>
    <d v="2026-05-20T17:32:00"/>
    <d v="2026-05-20T18:10:00"/>
    <d v="2026-05-21T08:42:00"/>
    <d v="2026-05-21T09:11:00"/>
    <x v="2"/>
    <x v="0"/>
    <s v="Closed"/>
    <s v="Cary Distribution Hub 01"/>
    <x v="2"/>
    <s v="Marcus Nguyen"/>
    <x v="0"/>
    <b v="0"/>
    <b v="0"/>
    <n v="24"/>
    <n v="15.17"/>
    <n v="0.63"/>
    <x v="0"/>
    <s v="Unexpected staffing shortage impacting morning operational support coverage"/>
    <s v="Temporary staffing support coordinated through regional scheduling pool"/>
  </r>
  <r>
    <s v="INC-100010"/>
    <d v="2026-05-20T18:04:00"/>
    <d v="2026-05-20T18:45:00"/>
    <d v="2026-05-22T11:18:00"/>
    <d v="2026-05-22T11:47:00"/>
    <x v="3"/>
    <x v="1"/>
    <s v="Closed"/>
    <s v="Durham Outpatient Clinic 07"/>
    <x v="3"/>
    <s v="Avery Patel"/>
    <x v="0"/>
    <b v="1"/>
    <b v="0"/>
    <n v="72"/>
    <n v="41.23"/>
    <n v="0.68"/>
    <x v="0"/>
    <s v="Operational reporting discrepancies identified during audit validation"/>
    <s v="Duplicate reporting records corrected and audit reconciliation completed"/>
  </r>
  <r>
    <s v="INC-100011"/>
    <d v="2026-05-21T07:18:00"/>
    <d v="2026-05-21T07:42:00"/>
    <d v="2026-05-21T09:08:00"/>
    <d v="2026-05-21T09:26:00"/>
    <x v="4"/>
    <x v="2"/>
    <s v="Closed"/>
    <s v="Raleigh Specialty Clinic 03"/>
    <x v="4"/>
    <s v="Taylor Brooks"/>
    <x v="1"/>
    <b v="0"/>
    <b v="0"/>
    <n v="4"/>
    <n v="1.83"/>
    <n v="0.4"/>
    <x v="0"/>
    <s v="Clinical intake workflow interruption affecting patient scheduling operations"/>
    <s v="Emergency operational rerouting restored intake continuity"/>
  </r>
  <r>
    <s v="INC-100012"/>
    <d v="2026-05-21T08:11:00"/>
    <d v="2026-05-21T08:55:00"/>
    <m/>
    <m/>
    <x v="0"/>
    <x v="0"/>
    <s v="In Progress"/>
    <s v="Wake Forest Clinic 11"/>
    <x v="0"/>
    <s v="Jordan Lee"/>
    <x v="0"/>
    <b v="0"/>
    <b v="0"/>
    <n v="24"/>
    <m/>
    <n v="0.73"/>
    <x v="2"/>
    <s v="Backordered inventory item impacting scheduled clinic procedure availability"/>
    <s v=""/>
  </r>
  <r>
    <s v="INC-100013"/>
    <d v="2026-05-21T09:44:00"/>
    <d v="2026-05-21T10:18:00"/>
    <d v="2026-05-21T13:09:00"/>
    <d v="2026-05-21T13:34:00"/>
    <x v="1"/>
    <x v="1"/>
    <s v="Closed"/>
    <s v="Cary Distribution Hub 01"/>
    <x v="1"/>
    <s v="Samantha Ortiz"/>
    <x v="0"/>
    <b v="0"/>
    <b v="0"/>
    <n v="72"/>
    <n v="3.42"/>
    <n v="0.56999999999999995"/>
    <x v="0"/>
    <s v="Vendor labeling discrepancy identified during inbound shipment review"/>
    <s v="Corrected shipment documentation received and verified"/>
  </r>
  <r>
    <s v="INC-100014"/>
    <d v="2026-05-21T10:52:00"/>
    <d v="2026-05-21T11:39:00"/>
    <d v="2026-05-22T15:42:00"/>
    <d v="2026-05-22T16:10:00"/>
    <x v="4"/>
    <x v="0"/>
    <s v="Closed"/>
    <s v="Durham Outpatient Clinic 07"/>
    <x v="4"/>
    <s v="Taylor Brooks"/>
    <x v="1"/>
    <b v="0"/>
    <b v="1"/>
    <n v="24"/>
    <n v="28.83"/>
    <n v="0.78"/>
    <x v="1"/>
    <s v="Operational workflow disruption caused by regional network outage"/>
    <s v="Temporary offline workflow procedures implemented until restoration completed"/>
  </r>
  <r>
    <s v="INC-100015"/>
    <d v="2026-05-21T11:33:00"/>
    <d v="2026-05-21T12:02:00"/>
    <m/>
    <m/>
    <x v="3"/>
    <x v="3"/>
    <s v="Assigned"/>
    <s v="Raleigh Specialty Clinic 03"/>
    <x v="3"/>
    <s v="Avery Patel"/>
    <x v="0"/>
    <b v="0"/>
    <b v="0"/>
    <n v="120"/>
    <m/>
    <n v="0.48"/>
    <x v="2"/>
    <s v="Historical reporting documentation request submitted for compliance review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B2F50-164C-4AF1-98DA-5D67B6FE9F5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16:B20" firstHeaderRow="1" firstDataRow="1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n="Open / Unresolved" x="2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icket Count" fld="0" subtotal="count" baseField="0" baseItem="0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3C0DB-D316-4062-937D-7849D5F5D8B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E5:F12" firstHeaderRow="1" firstDataRow="1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5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icket Count" fld="0" subtotal="count" baseField="0" baseItem="0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6521D-55DC-44D0-9B2F-69FA4EC77E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5:B12" firstHeaderRow="1" firstDataRow="1" firstDataCol="1"/>
  <pivotFields count="20">
    <pivotField dataField="1" showAll="0"/>
    <pivotField numFmtId="22" showAll="0"/>
    <pivotField numFmtId="22" showAll="0"/>
    <pivotField showAll="0"/>
    <pivotField showAll="0"/>
    <pivotField axis="axisRow" showAll="0">
      <items count="7">
        <item x="3"/>
        <item x="0"/>
        <item x="4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icket Count" fld="0" subtotal="count" baseField="0" baseItem="0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20317-9D8D-4684-9EF7-B06C2F6F755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24:E30" firstHeaderRow="1" firstDataRow="2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Ticket Count" fld="0" subtotal="count" baseField="0" baseItem="0"/>
  </dataFields>
  <formats count="3">
    <format dxfId="7">
      <pivotArea outline="0" collapsedLevelsAreSubtotals="1" fieldPosition="0"/>
    </format>
    <format dxfId="6">
      <pivotArea dataOnly="0" labelOnly="1" fieldPosition="0">
        <references count="1">
          <reference field="17" count="0"/>
        </references>
      </pivotArea>
    </format>
    <format dxfId="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2E683-BE2F-4DB1-B66C-F4A6084D619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E16:F19" firstHeaderRow="1" firstDataRow="1" firstDataCol="1"/>
  <pivotFields count="20"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Ticket Count" fld="0" subtotal="count" baseField="0" baseItem="0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BF5D1B-C2A7-4957-9980-89617D38A83F}" autoFormatId="16" applyNumberFormats="0" applyBorderFormats="0" applyFontFormats="0" applyPatternFormats="0" applyAlignmentFormats="0" applyWidthHeightFormats="0">
  <queryTableRefresh nextId="21">
    <queryTableFields count="20">
      <queryTableField id="1" name="ticket_id" tableColumnId="1"/>
      <queryTableField id="2" name="created_at" tableColumnId="2"/>
      <queryTableField id="3" name="first_response_at" tableColumnId="3"/>
      <queryTableField id="4" name="resolved_at" tableColumnId="4"/>
      <queryTableField id="5" name="closed_at" tableColumnId="5"/>
      <queryTableField id="6" name="category" tableColumnId="6"/>
      <queryTableField id="7" name="priority" tableColumnId="7"/>
      <queryTableField id="8" name="status" tableColumnId="8"/>
      <queryTableField id="9" name="requesting_location" tableColumnId="9"/>
      <queryTableField id="10" name="assigned_department" tableColumnId="10"/>
      <queryTableField id="11" name="assigned_owner" tableColumnId="11"/>
      <queryTableField id="12" name="escalation_flag" tableColumnId="12"/>
      <queryTableField id="13" name="reopened_flag" tableColumnId="13"/>
      <queryTableField id="14" name="pending_flag" tableColumnId="14"/>
      <queryTableField id="15" name="sla_target_hours" tableColumnId="15"/>
      <queryTableField id="16" name="resolution_hours" tableColumnId="16"/>
      <queryTableField id="17" name="response_hours" tableColumnId="17"/>
      <queryTableField id="18" name="sla_met_flag" tableColumnId="18"/>
      <queryTableField id="19" name="summary" tableColumnId="19"/>
      <queryTableField id="20" name="resolution_note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7B8D0-E5C6-4059-B16C-616CFCE9AC0E}" name="tickets_v1" displayName="tickets_v1" ref="A1:T16" tableType="queryTable" totalsRowShown="0">
  <autoFilter ref="A1:T16" xr:uid="{DE97B8D0-E5C6-4059-B16C-616CFCE9AC0E}"/>
  <tableColumns count="20">
    <tableColumn id="1" xr3:uid="{09E599F5-5DC2-4648-A8A2-3111DB7D97E8}" uniqueName="1" name="ticket_id" queryTableFieldId="1" dataDxfId="29"/>
    <tableColumn id="2" xr3:uid="{66E46FE5-2BF1-4C00-88E5-BADA26B9AD28}" uniqueName="2" name="created_at" queryTableFieldId="2" dataDxfId="28"/>
    <tableColumn id="3" xr3:uid="{E589D37C-991B-4D9E-8734-2A39C3145538}" uniqueName="3" name="first_response_at" queryTableFieldId="3" dataDxfId="27"/>
    <tableColumn id="4" xr3:uid="{7CD77852-F46B-467B-8F18-B8CF225E34EF}" uniqueName="4" name="resolved_at" queryTableFieldId="4" dataDxfId="26"/>
    <tableColumn id="5" xr3:uid="{8A165E11-8702-4BDC-97B8-558593A55025}" uniqueName="5" name="closed_at" queryTableFieldId="5" dataDxfId="25"/>
    <tableColumn id="6" xr3:uid="{E9645A80-61A8-4CD1-868F-D804A78A41CF}" uniqueName="6" name="category" queryTableFieldId="6" dataDxfId="24"/>
    <tableColumn id="7" xr3:uid="{B8A06DA3-47F1-4B26-B454-02C191521227}" uniqueName="7" name="priority" queryTableFieldId="7" dataDxfId="23"/>
    <tableColumn id="8" xr3:uid="{30CC1504-542F-449A-A047-1DB5FA48F4E2}" uniqueName="8" name="status" queryTableFieldId="8" dataDxfId="22"/>
    <tableColumn id="9" xr3:uid="{11402AD9-AD11-4921-B6F7-2A3397C40B72}" uniqueName="9" name="requesting_location" queryTableFieldId="9" dataDxfId="21"/>
    <tableColumn id="10" xr3:uid="{E8EDD650-D31C-4F64-AA3D-F6D196B1943F}" uniqueName="10" name="assigned_department" queryTableFieldId="10" dataDxfId="20"/>
    <tableColumn id="11" xr3:uid="{CBF6C16E-143B-4589-8269-54E88A2E69A4}" uniqueName="11" name="assigned_owner" queryTableFieldId="11" dataDxfId="19"/>
    <tableColumn id="12" xr3:uid="{333F9053-52CE-4692-B0D9-936E0734A9AD}" uniqueName="12" name="escalation_flag" queryTableFieldId="12"/>
    <tableColumn id="13" xr3:uid="{C5C46961-D093-4C40-9DAE-60DCFCA7D500}" uniqueName="13" name="reopened_flag" queryTableFieldId="13"/>
    <tableColumn id="14" xr3:uid="{F488B704-C567-4436-B6A8-01C4AD19592F}" uniqueName="14" name="pending_flag" queryTableFieldId="14"/>
    <tableColumn id="15" xr3:uid="{B311CC88-55D8-44FB-9E39-8D16F5B15E0F}" uniqueName="15" name="sla_target_hours" queryTableFieldId="15"/>
    <tableColumn id="16" xr3:uid="{62724D38-EBC7-42AA-B061-AB26F0B655B8}" uniqueName="16" name="resolution_hours" queryTableFieldId="16"/>
    <tableColumn id="17" xr3:uid="{BDBE98A7-7B7B-4058-95A6-4FBCD833FF06}" uniqueName="17" name="response_hours" queryTableFieldId="17"/>
    <tableColumn id="18" xr3:uid="{26B2574B-E442-49CA-9FE5-20E5CD3D80CF}" uniqueName="18" name="sla_met_flag" queryTableFieldId="18"/>
    <tableColumn id="19" xr3:uid="{21856449-41DC-4B1B-A0D6-C8627B60B080}" uniqueName="19" name="summary" queryTableFieldId="19" dataDxfId="18"/>
    <tableColumn id="20" xr3:uid="{3AD83A7D-C03B-4A45-BC8F-FB5901509577}" uniqueName="20" name="resolution_notes" queryTableFieldId="20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6685-45FD-40D6-9543-B9641A6E3939}">
  <dimension ref="A1:T16"/>
  <sheetViews>
    <sheetView workbookViewId="0">
      <selection activeCell="A2" sqref="A2"/>
    </sheetView>
  </sheetViews>
  <sheetFormatPr defaultRowHeight="15" x14ac:dyDescent="0.25"/>
  <cols>
    <col min="1" max="1" width="11" bestFit="1" customWidth="1"/>
    <col min="2" max="2" width="14.85546875" bestFit="1" customWidth="1"/>
    <col min="3" max="3" width="18.85546875" bestFit="1" customWidth="1"/>
    <col min="4" max="5" width="14.85546875" bestFit="1" customWidth="1"/>
    <col min="6" max="6" width="34" bestFit="1" customWidth="1"/>
    <col min="7" max="7" width="20.85546875" bestFit="1" customWidth="1"/>
    <col min="8" max="8" width="10.7109375" bestFit="1" customWidth="1"/>
    <col min="9" max="9" width="26.42578125" bestFit="1" customWidth="1"/>
    <col min="10" max="10" width="31.7109375" bestFit="1" customWidth="1"/>
    <col min="11" max="11" width="17.85546875" bestFit="1" customWidth="1"/>
    <col min="12" max="12" width="16.7109375" bestFit="1" customWidth="1"/>
    <col min="13" max="13" width="16.42578125" bestFit="1" customWidth="1"/>
    <col min="14" max="14" width="14.85546875" bestFit="1" customWidth="1"/>
    <col min="15" max="15" width="18.140625" bestFit="1" customWidth="1"/>
    <col min="16" max="16" width="18.5703125" bestFit="1" customWidth="1"/>
    <col min="17" max="17" width="17.5703125" bestFit="1" customWidth="1"/>
    <col min="18" max="18" width="14.5703125" bestFit="1" customWidth="1"/>
    <col min="19" max="20" width="67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46162.341666666667</v>
      </c>
      <c r="C2" s="1">
        <v>46162.35</v>
      </c>
      <c r="D2" s="1">
        <v>46162.447916666664</v>
      </c>
      <c r="E2" s="1">
        <v>46162.459722222222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b">
        <v>0</v>
      </c>
      <c r="M2" t="b">
        <v>0</v>
      </c>
      <c r="N2" t="b">
        <v>0</v>
      </c>
      <c r="O2">
        <v>24</v>
      </c>
      <c r="P2">
        <v>2.5499999999999998</v>
      </c>
      <c r="Q2">
        <v>0.2</v>
      </c>
      <c r="R2" t="b">
        <v>1</v>
      </c>
      <c r="S2" t="s">
        <v>27</v>
      </c>
      <c r="T2" t="s">
        <v>28</v>
      </c>
    </row>
    <row r="3" spans="1:20" x14ac:dyDescent="0.25">
      <c r="A3" t="s">
        <v>29</v>
      </c>
      <c r="B3" s="1">
        <v>46162.377083333333</v>
      </c>
      <c r="C3" s="1">
        <v>46162.402777777781</v>
      </c>
      <c r="D3" s="1">
        <v>46163.59375</v>
      </c>
      <c r="E3" s="1">
        <v>46163.612500000003</v>
      </c>
      <c r="F3" t="s">
        <v>30</v>
      </c>
      <c r="G3" t="s">
        <v>22</v>
      </c>
      <c r="H3" t="s">
        <v>23</v>
      </c>
      <c r="I3" t="s">
        <v>31</v>
      </c>
      <c r="J3" t="s">
        <v>32</v>
      </c>
      <c r="K3" t="s">
        <v>33</v>
      </c>
      <c r="L3" t="b">
        <v>1</v>
      </c>
      <c r="M3" t="b">
        <v>0</v>
      </c>
      <c r="N3" t="b">
        <v>1</v>
      </c>
      <c r="O3">
        <v>24</v>
      </c>
      <c r="P3">
        <v>29.2</v>
      </c>
      <c r="Q3">
        <v>0.62</v>
      </c>
      <c r="R3" t="b">
        <v>0</v>
      </c>
      <c r="S3" t="s">
        <v>34</v>
      </c>
      <c r="T3" t="s">
        <v>35</v>
      </c>
    </row>
    <row r="4" spans="1:20" x14ac:dyDescent="0.25">
      <c r="A4" t="s">
        <v>36</v>
      </c>
      <c r="B4" s="1">
        <v>46162.424305555556</v>
      </c>
      <c r="C4" s="1">
        <v>46162.436805555553</v>
      </c>
      <c r="D4" s="1">
        <v>46162.574999999997</v>
      </c>
      <c r="E4" s="1">
        <v>46162.585416666669</v>
      </c>
      <c r="F4" t="s">
        <v>37</v>
      </c>
      <c r="G4" t="s">
        <v>38</v>
      </c>
      <c r="H4" t="s">
        <v>23</v>
      </c>
      <c r="I4" t="s">
        <v>39</v>
      </c>
      <c r="J4" t="s">
        <v>40</v>
      </c>
      <c r="K4" t="s">
        <v>41</v>
      </c>
      <c r="L4" t="b">
        <v>0</v>
      </c>
      <c r="M4" t="b">
        <v>0</v>
      </c>
      <c r="N4" t="b">
        <v>0</v>
      </c>
      <c r="O4">
        <v>72</v>
      </c>
      <c r="P4">
        <v>3.62</v>
      </c>
      <c r="Q4">
        <v>0.3</v>
      </c>
      <c r="R4" t="b">
        <v>1</v>
      </c>
      <c r="S4" t="s">
        <v>42</v>
      </c>
      <c r="T4" t="s">
        <v>43</v>
      </c>
    </row>
    <row r="5" spans="1:20" x14ac:dyDescent="0.25">
      <c r="A5" t="s">
        <v>44</v>
      </c>
      <c r="B5" s="1">
        <v>46162.476388888892</v>
      </c>
      <c r="C5" s="1">
        <v>46162.496527777781</v>
      </c>
      <c r="D5" s="1"/>
      <c r="E5" s="1"/>
      <c r="F5" t="s">
        <v>45</v>
      </c>
      <c r="G5" t="s">
        <v>38</v>
      </c>
      <c r="H5" t="s">
        <v>46</v>
      </c>
      <c r="I5" t="s">
        <v>24</v>
      </c>
      <c r="J5" t="s">
        <v>45</v>
      </c>
      <c r="K5" t="s">
        <v>47</v>
      </c>
      <c r="L5" t="b">
        <v>0</v>
      </c>
      <c r="M5" t="b">
        <v>0</v>
      </c>
      <c r="N5" t="b">
        <v>0</v>
      </c>
      <c r="O5">
        <v>72</v>
      </c>
      <c r="Q5">
        <v>0.48</v>
      </c>
      <c r="S5" t="s">
        <v>48</v>
      </c>
      <c r="T5" t="s">
        <v>49</v>
      </c>
    </row>
    <row r="6" spans="1:20" x14ac:dyDescent="0.25">
      <c r="A6" t="s">
        <v>50</v>
      </c>
      <c r="B6" s="1">
        <v>46162.554166666669</v>
      </c>
      <c r="C6" s="1">
        <v>46162.577777777777</v>
      </c>
      <c r="D6" s="1">
        <v>46163.384722222225</v>
      </c>
      <c r="E6" s="1">
        <v>46163.402777777781</v>
      </c>
      <c r="F6" t="s">
        <v>51</v>
      </c>
      <c r="G6" t="s">
        <v>52</v>
      </c>
      <c r="H6" t="s">
        <v>23</v>
      </c>
      <c r="I6" t="s">
        <v>53</v>
      </c>
      <c r="J6" t="s">
        <v>54</v>
      </c>
      <c r="K6" t="s">
        <v>55</v>
      </c>
      <c r="L6" t="b">
        <v>1</v>
      </c>
      <c r="M6" t="b">
        <v>0</v>
      </c>
      <c r="N6" t="b">
        <v>0</v>
      </c>
      <c r="O6">
        <v>4</v>
      </c>
      <c r="P6">
        <v>19.93</v>
      </c>
      <c r="Q6">
        <v>0.56999999999999995</v>
      </c>
      <c r="R6" t="b">
        <v>0</v>
      </c>
      <c r="S6" t="s">
        <v>56</v>
      </c>
      <c r="T6" t="s">
        <v>57</v>
      </c>
    </row>
    <row r="7" spans="1:20" x14ac:dyDescent="0.25">
      <c r="A7" t="s">
        <v>58</v>
      </c>
      <c r="B7" s="1">
        <v>46162.584722222222</v>
      </c>
      <c r="C7" s="1">
        <v>46162.600694444445</v>
      </c>
      <c r="D7" s="1">
        <v>46162.679166666669</v>
      </c>
      <c r="E7" s="1">
        <v>46162.694444444445</v>
      </c>
      <c r="F7" t="s">
        <v>21</v>
      </c>
      <c r="G7" t="s">
        <v>38</v>
      </c>
      <c r="H7" t="s">
        <v>23</v>
      </c>
      <c r="I7" t="s">
        <v>31</v>
      </c>
      <c r="J7" t="s">
        <v>25</v>
      </c>
      <c r="K7" t="s">
        <v>26</v>
      </c>
      <c r="L7" t="b">
        <v>0</v>
      </c>
      <c r="M7" t="b">
        <v>0</v>
      </c>
      <c r="N7" t="b">
        <v>0</v>
      </c>
      <c r="O7">
        <v>72</v>
      </c>
      <c r="P7">
        <v>2.27</v>
      </c>
      <c r="Q7">
        <v>0.38</v>
      </c>
      <c r="R7" t="b">
        <v>1</v>
      </c>
      <c r="S7" t="s">
        <v>59</v>
      </c>
      <c r="T7" t="s">
        <v>60</v>
      </c>
    </row>
    <row r="8" spans="1:20" x14ac:dyDescent="0.25">
      <c r="A8" t="s">
        <v>61</v>
      </c>
      <c r="B8" s="1">
        <v>46162.655555555553</v>
      </c>
      <c r="C8" s="1">
        <v>46162.686111111114</v>
      </c>
      <c r="D8" s="1"/>
      <c r="E8" s="1"/>
      <c r="F8" t="s">
        <v>30</v>
      </c>
      <c r="G8" t="s">
        <v>22</v>
      </c>
      <c r="H8" t="s">
        <v>62</v>
      </c>
      <c r="I8" t="s">
        <v>39</v>
      </c>
      <c r="J8" t="s">
        <v>32</v>
      </c>
      <c r="K8" t="s">
        <v>33</v>
      </c>
      <c r="L8" t="b">
        <v>1</v>
      </c>
      <c r="M8" t="b">
        <v>0</v>
      </c>
      <c r="N8" t="b">
        <v>1</v>
      </c>
      <c r="O8">
        <v>24</v>
      </c>
      <c r="Q8">
        <v>0.73</v>
      </c>
      <c r="S8" t="s">
        <v>63</v>
      </c>
      <c r="T8" t="s">
        <v>49</v>
      </c>
    </row>
    <row r="9" spans="1:20" x14ac:dyDescent="0.25">
      <c r="A9" t="s">
        <v>64</v>
      </c>
      <c r="B9" s="1">
        <v>46162.677083333336</v>
      </c>
      <c r="C9" s="1">
        <v>46162.695138888892</v>
      </c>
      <c r="D9" s="1">
        <v>46162.751388888886</v>
      </c>
      <c r="E9" s="1">
        <v>46162.762499999997</v>
      </c>
      <c r="F9" t="s">
        <v>65</v>
      </c>
      <c r="G9" t="s">
        <v>38</v>
      </c>
      <c r="H9" t="s">
        <v>23</v>
      </c>
      <c r="I9" t="s">
        <v>24</v>
      </c>
      <c r="J9" t="s">
        <v>66</v>
      </c>
      <c r="K9" t="s">
        <v>47</v>
      </c>
      <c r="L9" t="b">
        <v>0</v>
      </c>
      <c r="M9" t="b">
        <v>0</v>
      </c>
      <c r="N9" t="b">
        <v>0</v>
      </c>
      <c r="O9">
        <v>72</v>
      </c>
      <c r="P9">
        <v>1.78</v>
      </c>
      <c r="Q9">
        <v>0.43</v>
      </c>
      <c r="R9" t="b">
        <v>1</v>
      </c>
      <c r="S9" t="s">
        <v>67</v>
      </c>
      <c r="T9" t="s">
        <v>68</v>
      </c>
    </row>
    <row r="10" spans="1:20" x14ac:dyDescent="0.25">
      <c r="A10" t="s">
        <v>69</v>
      </c>
      <c r="B10" s="1">
        <v>46162.730555555558</v>
      </c>
      <c r="C10" s="1">
        <v>46162.756944444445</v>
      </c>
      <c r="D10" s="1">
        <v>46163.362500000003</v>
      </c>
      <c r="E10" s="1">
        <v>46163.382638888892</v>
      </c>
      <c r="F10" t="s">
        <v>37</v>
      </c>
      <c r="G10" t="s">
        <v>22</v>
      </c>
      <c r="H10" t="s">
        <v>23</v>
      </c>
      <c r="I10" t="s">
        <v>53</v>
      </c>
      <c r="J10" t="s">
        <v>40</v>
      </c>
      <c r="K10" t="s">
        <v>41</v>
      </c>
      <c r="L10" t="b">
        <v>0</v>
      </c>
      <c r="M10" t="b">
        <v>0</v>
      </c>
      <c r="N10" t="b">
        <v>0</v>
      </c>
      <c r="O10">
        <v>24</v>
      </c>
      <c r="P10">
        <v>15.17</v>
      </c>
      <c r="Q10">
        <v>0.63</v>
      </c>
      <c r="R10" t="b">
        <v>1</v>
      </c>
      <c r="S10" t="s">
        <v>70</v>
      </c>
      <c r="T10" t="s">
        <v>71</v>
      </c>
    </row>
    <row r="11" spans="1:20" x14ac:dyDescent="0.25">
      <c r="A11" t="s">
        <v>72</v>
      </c>
      <c r="B11" s="1">
        <v>46162.75277777778</v>
      </c>
      <c r="C11" s="1">
        <v>46162.78125</v>
      </c>
      <c r="D11" s="1">
        <v>46164.470833333333</v>
      </c>
      <c r="E11" s="1">
        <v>46164.490972222222</v>
      </c>
      <c r="F11" t="s">
        <v>45</v>
      </c>
      <c r="G11" t="s">
        <v>38</v>
      </c>
      <c r="H11" t="s">
        <v>23</v>
      </c>
      <c r="I11" t="s">
        <v>31</v>
      </c>
      <c r="J11" t="s">
        <v>45</v>
      </c>
      <c r="K11" t="s">
        <v>47</v>
      </c>
      <c r="L11" t="b">
        <v>0</v>
      </c>
      <c r="M11" t="b">
        <v>1</v>
      </c>
      <c r="N11" t="b">
        <v>0</v>
      </c>
      <c r="O11">
        <v>72</v>
      </c>
      <c r="P11">
        <v>41.23</v>
      </c>
      <c r="Q11">
        <v>0.68</v>
      </c>
      <c r="R11" t="b">
        <v>1</v>
      </c>
      <c r="S11" t="s">
        <v>73</v>
      </c>
      <c r="T11" t="s">
        <v>74</v>
      </c>
    </row>
    <row r="12" spans="1:20" x14ac:dyDescent="0.25">
      <c r="A12" t="s">
        <v>75</v>
      </c>
      <c r="B12" s="1">
        <v>46163.304166666669</v>
      </c>
      <c r="C12" s="1">
        <v>46163.320833333331</v>
      </c>
      <c r="D12" s="1">
        <v>46163.380555555559</v>
      </c>
      <c r="E12" s="1">
        <v>46163.393055555556</v>
      </c>
      <c r="F12" t="s">
        <v>51</v>
      </c>
      <c r="G12" t="s">
        <v>52</v>
      </c>
      <c r="H12" t="s">
        <v>23</v>
      </c>
      <c r="I12" t="s">
        <v>24</v>
      </c>
      <c r="J12" t="s">
        <v>54</v>
      </c>
      <c r="K12" t="s">
        <v>55</v>
      </c>
      <c r="L12" t="b">
        <v>1</v>
      </c>
      <c r="M12" t="b">
        <v>0</v>
      </c>
      <c r="N12" t="b">
        <v>0</v>
      </c>
      <c r="O12">
        <v>4</v>
      </c>
      <c r="P12">
        <v>1.83</v>
      </c>
      <c r="Q12">
        <v>0.4</v>
      </c>
      <c r="R12" t="b">
        <v>1</v>
      </c>
      <c r="S12" t="s">
        <v>76</v>
      </c>
      <c r="T12" t="s">
        <v>77</v>
      </c>
    </row>
    <row r="13" spans="1:20" x14ac:dyDescent="0.25">
      <c r="A13" t="s">
        <v>78</v>
      </c>
      <c r="B13" s="1">
        <v>46163.34097222222</v>
      </c>
      <c r="C13" s="1">
        <v>46163.371527777781</v>
      </c>
      <c r="D13" s="1"/>
      <c r="E13" s="1"/>
      <c r="F13" t="s">
        <v>21</v>
      </c>
      <c r="G13" t="s">
        <v>22</v>
      </c>
      <c r="H13" t="s">
        <v>46</v>
      </c>
      <c r="I13" t="s">
        <v>39</v>
      </c>
      <c r="J13" t="s">
        <v>25</v>
      </c>
      <c r="K13" t="s">
        <v>26</v>
      </c>
      <c r="L13" t="b">
        <v>0</v>
      </c>
      <c r="M13" t="b">
        <v>0</v>
      </c>
      <c r="N13" t="b">
        <v>0</v>
      </c>
      <c r="O13">
        <v>24</v>
      </c>
      <c r="Q13">
        <v>0.73</v>
      </c>
      <c r="S13" t="s">
        <v>79</v>
      </c>
      <c r="T13" t="s">
        <v>49</v>
      </c>
    </row>
    <row r="14" spans="1:20" x14ac:dyDescent="0.25">
      <c r="A14" t="s">
        <v>80</v>
      </c>
      <c r="B14" s="1">
        <v>46163.405555555553</v>
      </c>
      <c r="C14" s="1">
        <v>46163.429166666669</v>
      </c>
      <c r="D14" s="1">
        <v>46163.54791666667</v>
      </c>
      <c r="E14" s="1">
        <v>46163.56527777778</v>
      </c>
      <c r="F14" t="s">
        <v>30</v>
      </c>
      <c r="G14" t="s">
        <v>38</v>
      </c>
      <c r="H14" t="s">
        <v>23</v>
      </c>
      <c r="I14" t="s">
        <v>53</v>
      </c>
      <c r="J14" t="s">
        <v>32</v>
      </c>
      <c r="K14" t="s">
        <v>33</v>
      </c>
      <c r="L14" t="b">
        <v>0</v>
      </c>
      <c r="M14" t="b">
        <v>0</v>
      </c>
      <c r="N14" t="b">
        <v>0</v>
      </c>
      <c r="O14">
        <v>72</v>
      </c>
      <c r="P14">
        <v>3.42</v>
      </c>
      <c r="Q14">
        <v>0.56999999999999995</v>
      </c>
      <c r="R14" t="b">
        <v>1</v>
      </c>
      <c r="S14" t="s">
        <v>81</v>
      </c>
      <c r="T14" t="s">
        <v>82</v>
      </c>
    </row>
    <row r="15" spans="1:20" x14ac:dyDescent="0.25">
      <c r="A15" t="s">
        <v>83</v>
      </c>
      <c r="B15" s="1">
        <v>46163.452777777777</v>
      </c>
      <c r="C15" s="1">
        <v>46163.48541666667</v>
      </c>
      <c r="D15" s="1">
        <v>46164.654166666667</v>
      </c>
      <c r="E15" s="1">
        <v>46164.673611111109</v>
      </c>
      <c r="F15" t="s">
        <v>51</v>
      </c>
      <c r="G15" t="s">
        <v>22</v>
      </c>
      <c r="H15" t="s">
        <v>23</v>
      </c>
      <c r="I15" t="s">
        <v>31</v>
      </c>
      <c r="J15" t="s">
        <v>54</v>
      </c>
      <c r="K15" t="s">
        <v>55</v>
      </c>
      <c r="L15" t="b">
        <v>1</v>
      </c>
      <c r="M15" t="b">
        <v>0</v>
      </c>
      <c r="N15" t="b">
        <v>1</v>
      </c>
      <c r="O15">
        <v>24</v>
      </c>
      <c r="P15">
        <v>28.83</v>
      </c>
      <c r="Q15">
        <v>0.78</v>
      </c>
      <c r="R15" t="b">
        <v>0</v>
      </c>
      <c r="S15" t="s">
        <v>84</v>
      </c>
      <c r="T15" t="s">
        <v>85</v>
      </c>
    </row>
    <row r="16" spans="1:20" x14ac:dyDescent="0.25">
      <c r="A16" t="s">
        <v>86</v>
      </c>
      <c r="B16" s="1">
        <v>46163.481249999997</v>
      </c>
      <c r="C16" s="1">
        <v>46163.501388888886</v>
      </c>
      <c r="D16" s="1"/>
      <c r="E16" s="1"/>
      <c r="F16" t="s">
        <v>45</v>
      </c>
      <c r="G16" t="s">
        <v>87</v>
      </c>
      <c r="H16" t="s">
        <v>88</v>
      </c>
      <c r="I16" t="s">
        <v>24</v>
      </c>
      <c r="J16" t="s">
        <v>45</v>
      </c>
      <c r="K16" t="s">
        <v>47</v>
      </c>
      <c r="L16" t="b">
        <v>0</v>
      </c>
      <c r="M16" t="b">
        <v>0</v>
      </c>
      <c r="N16" t="b">
        <v>0</v>
      </c>
      <c r="O16">
        <v>120</v>
      </c>
      <c r="Q16">
        <v>0.48</v>
      </c>
      <c r="S16" t="s">
        <v>89</v>
      </c>
      <c r="T16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A6B5-0DBE-48E8-96B1-F4D3B84797B7}">
  <dimension ref="A1:F30"/>
  <sheetViews>
    <sheetView tabSelected="1" workbookViewId="0">
      <selection activeCell="A19" sqref="A19:B19"/>
      <pivotSelection pane="bottomRight" showHeader="1" extendable="1" axis="axisRow" start="2" max="4" activeRow="18" previousRow="18" click="1" r:id="rId1">
        <pivotArea dataOnly="0" fieldPosition="0">
          <references count="1">
            <reference field="17" count="1">
              <x v="2"/>
            </reference>
          </references>
        </pivotArea>
      </pivotSelection>
    </sheetView>
  </sheetViews>
  <sheetFormatPr defaultRowHeight="15" x14ac:dyDescent="0.25"/>
  <cols>
    <col min="1" max="1" width="47.42578125" bestFit="1" customWidth="1"/>
    <col min="2" max="2" width="12" bestFit="1" customWidth="1"/>
    <col min="3" max="3" width="5.5703125" bestFit="1" customWidth="1"/>
    <col min="4" max="4" width="7.28515625" bestFit="1" customWidth="1"/>
    <col min="5" max="5" width="38.28515625" bestFit="1" customWidth="1"/>
    <col min="6" max="6" width="12" bestFit="1" customWidth="1"/>
  </cols>
  <sheetData>
    <row r="1" spans="1:6" ht="20.25" thickBot="1" x14ac:dyDescent="0.35">
      <c r="A1" s="3" t="s">
        <v>100</v>
      </c>
    </row>
    <row r="2" spans="1:6" ht="15.75" thickTop="1" x14ac:dyDescent="0.25"/>
    <row r="4" spans="1:6" ht="20.25" thickBot="1" x14ac:dyDescent="0.35">
      <c r="A4" s="4" t="s">
        <v>94</v>
      </c>
      <c r="B4" s="3"/>
      <c r="E4" s="3" t="s">
        <v>95</v>
      </c>
      <c r="F4" s="3"/>
    </row>
    <row r="5" spans="1:6" ht="15.75" thickTop="1" x14ac:dyDescent="0.25">
      <c r="B5" s="6" t="s">
        <v>99</v>
      </c>
      <c r="F5" s="6" t="s">
        <v>99</v>
      </c>
    </row>
    <row r="6" spans="1:6" x14ac:dyDescent="0.25">
      <c r="A6" s="2" t="s">
        <v>45</v>
      </c>
      <c r="B6" s="6">
        <v>3</v>
      </c>
      <c r="E6" s="2" t="s">
        <v>40</v>
      </c>
      <c r="F6" s="6">
        <v>2</v>
      </c>
    </row>
    <row r="7" spans="1:6" x14ac:dyDescent="0.25">
      <c r="A7" s="2" t="s">
        <v>21</v>
      </c>
      <c r="B7" s="6">
        <v>3</v>
      </c>
      <c r="E7" s="2" t="s">
        <v>45</v>
      </c>
      <c r="F7" s="6">
        <v>3</v>
      </c>
    </row>
    <row r="8" spans="1:6" x14ac:dyDescent="0.25">
      <c r="A8" s="2" t="s">
        <v>51</v>
      </c>
      <c r="B8" s="6">
        <v>3</v>
      </c>
      <c r="E8" s="2" t="s">
        <v>66</v>
      </c>
      <c r="F8" s="6">
        <v>1</v>
      </c>
    </row>
    <row r="9" spans="1:6" x14ac:dyDescent="0.25">
      <c r="A9" s="2" t="s">
        <v>37</v>
      </c>
      <c r="B9" s="6">
        <v>2</v>
      </c>
      <c r="E9" s="2" t="s">
        <v>54</v>
      </c>
      <c r="F9" s="6">
        <v>3</v>
      </c>
    </row>
    <row r="10" spans="1:6" x14ac:dyDescent="0.25">
      <c r="A10" s="2" t="s">
        <v>65</v>
      </c>
      <c r="B10" s="6">
        <v>1</v>
      </c>
      <c r="E10" s="2" t="s">
        <v>25</v>
      </c>
      <c r="F10" s="6">
        <v>3</v>
      </c>
    </row>
    <row r="11" spans="1:6" x14ac:dyDescent="0.25">
      <c r="A11" s="2" t="s">
        <v>30</v>
      </c>
      <c r="B11" s="6">
        <v>3</v>
      </c>
      <c r="E11" s="2" t="s">
        <v>32</v>
      </c>
      <c r="F11" s="6">
        <v>3</v>
      </c>
    </row>
    <row r="12" spans="1:6" x14ac:dyDescent="0.25">
      <c r="A12" s="2" t="s">
        <v>90</v>
      </c>
      <c r="B12" s="6">
        <v>15</v>
      </c>
      <c r="E12" s="2" t="s">
        <v>90</v>
      </c>
      <c r="F12" s="6">
        <v>15</v>
      </c>
    </row>
    <row r="13" spans="1:6" x14ac:dyDescent="0.25">
      <c r="A13" s="2"/>
      <c r="E13" s="2"/>
    </row>
    <row r="15" spans="1:6" ht="20.25" thickBot="1" x14ac:dyDescent="0.35">
      <c r="A15" s="4" t="s">
        <v>96</v>
      </c>
      <c r="B15" s="3"/>
      <c r="E15" s="4" t="s">
        <v>97</v>
      </c>
      <c r="F15" s="3"/>
    </row>
    <row r="16" spans="1:6" ht="15.75" thickTop="1" x14ac:dyDescent="0.25">
      <c r="B16" s="6" t="s">
        <v>99</v>
      </c>
      <c r="F16" s="6" t="s">
        <v>99</v>
      </c>
    </row>
    <row r="17" spans="1:6" x14ac:dyDescent="0.25">
      <c r="A17" s="2" t="s">
        <v>91</v>
      </c>
      <c r="B17" s="6">
        <v>3</v>
      </c>
      <c r="E17" s="2" t="s">
        <v>91</v>
      </c>
      <c r="F17" s="6">
        <v>10</v>
      </c>
    </row>
    <row r="18" spans="1:6" x14ac:dyDescent="0.25">
      <c r="A18" s="2" t="s">
        <v>92</v>
      </c>
      <c r="B18" s="6">
        <v>8</v>
      </c>
      <c r="E18" s="2" t="s">
        <v>92</v>
      </c>
      <c r="F18" s="6">
        <v>5</v>
      </c>
    </row>
    <row r="19" spans="1:6" x14ac:dyDescent="0.25">
      <c r="A19" s="2" t="s">
        <v>101</v>
      </c>
      <c r="B19" s="6">
        <v>4</v>
      </c>
      <c r="E19" s="2" t="s">
        <v>90</v>
      </c>
      <c r="F19" s="6">
        <v>15</v>
      </c>
    </row>
    <row r="20" spans="1:6" x14ac:dyDescent="0.25">
      <c r="A20" s="2" t="s">
        <v>90</v>
      </c>
      <c r="B20" s="6">
        <v>15</v>
      </c>
    </row>
    <row r="21" spans="1:6" x14ac:dyDescent="0.25">
      <c r="A21" s="2"/>
    </row>
    <row r="23" spans="1:6" ht="20.25" thickBot="1" x14ac:dyDescent="0.35">
      <c r="A23" s="4" t="s">
        <v>98</v>
      </c>
      <c r="B23" s="3"/>
    </row>
    <row r="24" spans="1:6" ht="15.75" thickTop="1" x14ac:dyDescent="0.25">
      <c r="A24" s="5" t="s">
        <v>99</v>
      </c>
    </row>
    <row r="25" spans="1:6" x14ac:dyDescent="0.25">
      <c r="B25" s="6" t="s">
        <v>91</v>
      </c>
      <c r="C25" s="6" t="s">
        <v>92</v>
      </c>
      <c r="D25" s="6" t="s">
        <v>93</v>
      </c>
      <c r="E25" s="6" t="s">
        <v>90</v>
      </c>
    </row>
    <row r="26" spans="1:6" x14ac:dyDescent="0.25">
      <c r="A26" s="2" t="s">
        <v>52</v>
      </c>
      <c r="B26" s="7">
        <v>1</v>
      </c>
      <c r="C26" s="7">
        <v>1</v>
      </c>
      <c r="D26" s="7"/>
      <c r="E26" s="7">
        <v>2</v>
      </c>
    </row>
    <row r="27" spans="1:6" x14ac:dyDescent="0.25">
      <c r="A27" s="2" t="s">
        <v>22</v>
      </c>
      <c r="B27" s="7">
        <v>2</v>
      </c>
      <c r="C27" s="7">
        <v>2</v>
      </c>
      <c r="D27" s="7">
        <v>2</v>
      </c>
      <c r="E27" s="7">
        <v>6</v>
      </c>
    </row>
    <row r="28" spans="1:6" x14ac:dyDescent="0.25">
      <c r="A28" s="2" t="s">
        <v>38</v>
      </c>
      <c r="B28" s="7"/>
      <c r="C28" s="7">
        <v>5</v>
      </c>
      <c r="D28" s="7">
        <v>1</v>
      </c>
      <c r="E28" s="7">
        <v>6</v>
      </c>
    </row>
    <row r="29" spans="1:6" x14ac:dyDescent="0.25">
      <c r="A29" s="2" t="s">
        <v>87</v>
      </c>
      <c r="B29" s="7"/>
      <c r="C29" s="7"/>
      <c r="D29" s="7">
        <v>1</v>
      </c>
      <c r="E29" s="7">
        <v>1</v>
      </c>
    </row>
    <row r="30" spans="1:6" x14ac:dyDescent="0.25">
      <c r="A30" s="2" t="s">
        <v>90</v>
      </c>
      <c r="B30" s="7">
        <v>3</v>
      </c>
      <c r="C30" s="7">
        <v>8</v>
      </c>
      <c r="D30" s="7">
        <v>4</v>
      </c>
      <c r="E30" s="7">
        <v>15</v>
      </c>
    </row>
  </sheetData>
  <pageMargins left="0.7" right="0.7" top="0.75" bottom="0.75" header="0.3" footer="0.3"/>
  <pageSetup orientation="portrait" horizontalDpi="4294967293" verticalDpi="0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2AA09-E266-4878-BAE7-03BC96DBA9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Ticket Data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2026-05-20T18:42:48Z</dcterms:modified>
</cp:coreProperties>
</file>