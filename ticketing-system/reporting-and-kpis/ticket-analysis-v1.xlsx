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534" documentId="11_F25DC773A252ABDACC104871895B64DE5BDE58EE" xr6:coauthVersionLast="47" xr6:coauthVersionMax="47" xr10:uidLastSave="{F4FEDA2B-8DF4-48C8-8EE1-28D4D3C7B894}"/>
  <bookViews>
    <workbookView xWindow="2130" yWindow="1290" windowWidth="23475" windowHeight="17640" activeTab="1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<sst xmlns="http://schemas.openxmlformats.org/spreadsheetml/2006/main" count="220" uniqueCount="132">
  <si>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</si>
  <si>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</si>
  <si>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</si>
  <si>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</si>
  <si>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</si>
  <si>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</si>
  <si>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</si>
  <si>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</si>
  <si>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</si>
  <si>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</si>
  <si>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</si>
  <si>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</si>
  <si>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</si>
  <si>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</si>
  <si>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</si>
  <si>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</si>
  <si>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</si>
  <si>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</si>
  <si>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</si>
  <si>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</si>
  <si>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</si>
  <si>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</si>
  <si>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</si>
  <si>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</si>
  <si>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</si>
  <si>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</si>
  <si>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</si>
  <si>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</si>
  <si>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</si>
  <si>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</si>
  <si>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</si>
  <si>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</si>
  <si>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</si>
  <si>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</si>
  <si>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</si>
  <si>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</si>
  <si>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</si>
  <si>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</si>
  <si>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</si>
  <si>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</si>
  <si>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</si>
  <si>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</si>
  <si>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</si>
  <si>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</si>
  <si>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</si>
  <si>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</si>
  <si>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</si>
  <si>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</si>
  <si>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</si>
  <si>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</si>
  <si>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</si>
  <si>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</si>
  <si>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</si>
  <si>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</si>
  <si>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</si>
  <si>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</si>
  <si>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</si>
  <si>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</si>
  <si>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</si>
  <si>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</si>
  <si>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</si>
  <si>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</si>
  <si>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</si>
  <si>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</si>
  <si>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</si>
  <si>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</si>
  <si>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</si>
  <si>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</si>
  <si>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</si>
  <si>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</si>
  <si>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</si>
  <si>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</si>
  <si>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</si>
  <si>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</si>
  <si>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</si>
  <si>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</si>
  <si>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</si>
  <si>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</si>
  <si>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</si>
  <si>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</si>
  <si>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</si>
  <si>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</si>
  <si>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</si>
  <si>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</si>
  <si>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</si>
  <si>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</si>
  <si>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</si>
  <si>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</si>
  <si>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</si>
  <si>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</si>
  <si>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</si>
  <si>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</si>
  <si>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</si>
  <si>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</si>
  <si>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</si>
  <si>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</si>
  <si>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</si>
  <si>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</si>
  <si>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Highlights</t>
  </si>
  <si>
    <t>Total Operational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</si>
  <si>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</si>
  <si>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</si>
  <si>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</si>
  <si>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</si>
  <si>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</si>
  <si>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</si>
  <si>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</si>
  <si>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</si>
  <si>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</si>
  <si>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</si>
  <si>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</si>
  <si>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</si>
  <si>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</si>
  <si>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</si>
  <si>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</si>
  <si>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</si>
  <si>
    <r>
      <t xml:space="preserve">Purpose: </t>
    </r>
    <r>
      <rPr>
        <sz val="12"/>
        <rFont val="Calibri"/>
        <family val="2"/>
        <scheme val="minor"/>
      </rPr>
      <t>Provide a high-level overview of ticket volume, service performance, escalation activity, and operational conditions during the reporting period.</t>
    </r>
  </si>
  <si>
    <t>Reporting Period: May 2026</t>
  </si>
  <si>
    <t>Open / Unresolved Tickets</t>
  </si>
  <si>
    <t>Executive Summary</t>
  </si>
  <si>
    <t>Recommended Focus Areas</t>
  </si>
  <si>
    <t>High</t>
  </si>
  <si>
    <t>The report is based on complete ticket activity captured during the reporting period. KPI calculations and observations are supported by the available operational data.</t>
  </si>
  <si>
    <t>SLA Not Met</t>
  </si>
  <si>
    <t>SLA Met</t>
  </si>
  <si>
    <t>Not Escalated</t>
  </si>
  <si>
    <t>Escalated</t>
  </si>
  <si>
    <t>• Inventory, vendor, and operational incidents account for most ticket activity. Continued monitoring may help identify recurring process bottlenecks within high-volume categories.</t>
  </si>
  <si>
    <t>• Critical and high-priority tickets experienced the highest rate of SLA failures. Response performance for high-impact incidents should continue to be monitored.</t>
  </si>
  <si>
    <t>• Most completed tickets met SLA targets. Open and unresolved tickets should be monitored to reduce future compliance risk.</t>
  </si>
  <si>
    <t>• One-third of ticket activity required escalation. Elevated escalation volume may indicate workflow dependencies or operational friction points.</t>
  </si>
  <si>
    <t>• Ticket activity spans multiple departments, reinforcing the need for clear ownership and cross-functional coordination.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</si>
</sst>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  <xf numFmtId="0" fontId="0" fillId="2" borderId="4" xfId="0" applyFill="1" applyBorder="1"/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2" borderId="1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Tables'!$A$6:$A$11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Tables'!$B$6:$B$11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9525</xdr:rowOff>
    </xdr:from>
    <xdr:to>
      <xdr:col>6</xdr:col>
      <xdr:colOff>438150</xdr:colOff>
      <xdr:row>46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I5:L10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17"/>
  </colFields>
  <colItems count="3">
    <i>
      <x/>
    </i>
    <i>
      <x v="1"/>
    </i>
    <i>
      <x v="2"/>
    </i>
  </colItems>
  <dataFields count="1">
    <dataField name="Ticket Count" fld="0" subtotal="count" baseField="0" baseItem="0"/>
  </dataFields>
  <formats count="10">
    <format dxfId="22">
      <pivotArea outline="0" collapsedLevelsAreSubtotals="1" fieldPosition="0"/>
    </format>
    <format dxfId="21">
      <pivotArea dataOnly="0" labelOnly="1" fieldPosition="0">
        <references count="1">
          <reference field="17" count="0"/>
        </references>
      </pivotArea>
    </format>
    <format dxfId="20">
      <pivotArea dataOnly="0" labelOnly="1" grandCol="1" outline="0" fieldPosition="0"/>
    </format>
    <format dxfId="19">
      <pivotArea type="origin" dataOnly="0" labelOnly="1" outline="0" fieldPosition="0"/>
    </format>
    <format dxfId="18">
      <pivotArea type="topRight" dataOnly="0" labelOnly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  <format dxfId="13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18:F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Not Escalated" x="0"/>
        <item n="Escalated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2">
    <i>
      <x/>
    </i>
    <i>
      <x v="1"/>
    </i>
  </rowItems>
  <colItems count="1">
    <i/>
  </colItems>
  <dataFields count="1">
    <dataField name="Ticket Count" fld="0" subtotal="count" baseField="0" baseItem="0"/>
  </dataFields>
  <formats count="9">
    <format dxfId="31">
      <pivotArea outline="0" collapsedLevelsAreSubtotals="1" fieldPosition="0"/>
    </format>
    <format dxfId="30">
      <pivotArea dataOnly="0" labelOnly="1" outline="0" axis="axisValues" fieldPosition="0"/>
    </format>
    <format dxfId="29">
      <pivotArea dataOnly="0" labelOnly="1" outline="0" axis="axisValues" fieldPosition="0"/>
    </format>
    <format dxfId="28">
      <pivotArea grandRow="1" outline="0" collapsedLevelsAreSubtotals="1" fieldPosition="0"/>
    </format>
    <format dxfId="27">
      <pivotArea dataOnly="0" labelOnly="1" grandRow="1" outline="0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dataOnly="0" labelOnly="1" fieldPosition="0">
        <references count="1">
          <reference field="11" count="0"/>
        </references>
      </pivotArea>
    </format>
    <format dxfId="2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A18:B2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Ticket Count" fld="0" subtotal="count" baseField="0" baseItem="0"/>
  </dataFields>
  <formats count="9">
    <format dxfId="40">
      <pivotArea outline="0" collapsedLevelsAreSubtotals="1" fieldPosition="0"/>
    </format>
    <format dxfId="39">
      <pivotArea dataOnly="0" labelOnly="1" outline="0" axis="axisValues" fieldPosition="0"/>
    </format>
    <format dxfId="38">
      <pivotArea dataOnly="0" labelOnly="1" outline="0" axis="axisValues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fieldPosition="0">
        <references count="1">
          <reference field="17" count="0"/>
        </references>
      </pivotArea>
    </format>
    <format dxfId="3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5:F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Ticket Count" fld="0" subtotal="count" baseField="0" baseItem="0"/>
  </dataFields>
  <formats count="9">
    <format dxfId="49">
      <pivotArea outline="0" collapsedLevelsAreSubtotals="1" fieldPosition="0"/>
    </format>
    <format dxfId="48">
      <pivotArea dataOnly="0" labelOnly="1" outline="0" axis="axisValues" fieldPosition="0"/>
    </format>
    <format dxfId="47">
      <pivotArea dataOnly="0" labelOnly="1" outline="0" axis="axisValues" fieldPosition="0"/>
    </format>
    <format dxfId="46">
      <pivotArea grandRow="1" outline="0" collapsedLevelsAreSubtotals="1" fieldPosition="0"/>
    </format>
    <format dxfId="45">
      <pivotArea dataOnly="0" labelOnly="1" grandRow="1" outline="0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dataOnly="0" labelOnly="1" fieldPosition="0">
        <references count="1">
          <reference field="9" count="0"/>
        </references>
      </pivotArea>
    </format>
    <format dxfId="4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 chartFormat="2">
  <location ref="A5:B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 v="5"/>
    </i>
    <i>
      <x/>
    </i>
    <i>
      <x v="1"/>
    </i>
    <i>
      <x v="2"/>
    </i>
    <i>
      <x v="3"/>
    </i>
    <i>
      <x v="4"/>
    </i>
  </rowItems>
  <colItems count="1">
    <i/>
  </colItems>
  <dataFields count="1">
    <dataField name="Ticket Count" fld="0" subtotal="count" baseField="0" baseItem="0"/>
  </dataFields>
  <formats count="9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dataOnly="0" labelOnly="1" outline="0" axis="axisValues" fieldPosition="0"/>
    </format>
    <format dxfId="55">
      <pivotArea grandRow="1" outline="0" collapsedLevelsAreSubtotals="1" fieldPosition="0"/>
    </format>
    <format dxfId="54">
      <pivotArea dataOnly="0" labelOnly="1" grandRow="1" outline="0" fieldPosition="0"/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fieldPosition="0">
        <references count="1">
          <reference field="5" count="0"/>
        </references>
      </pivotArea>
    </format>
    <format dxfId="5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11"/>
    <tableColumn id="3" xr3:uid="{E589D37C-991B-4D9E-8734-2A39C3145538}" uniqueName="3" name="first_response_at" queryTableFieldId="3" dataDxfId="10"/>
    <tableColumn id="4" xr3:uid="{7CD77852-F46B-467B-8F18-B8CF225E34EF}" uniqueName="4" name="resolved_at" queryTableFieldId="4" dataDxfId="9"/>
    <tableColumn id="5" xr3:uid="{8A165E11-8702-4BDC-97B8-558593A55025}" uniqueName="5" name="closed_at" queryTableFieldId="5" dataDxfId="8"/>
    <tableColumn id="6" xr3:uid="{E9645A80-61A8-4CD1-868F-D804A78A41CF}" uniqueName="6" name="category" queryTableFieldId="6" dataDxfId="7"/>
    <tableColumn id="7" xr3:uid="{B8A06DA3-47F1-4B26-B454-02C191521227}" uniqueName="7" name="priority" queryTableFieldId="7" dataDxfId="6"/>
    <tableColumn id="8" xr3:uid="{30CC1504-542F-449A-A047-1DB5FA48F4E2}" uniqueName="8" name="status" queryTableFieldId="8" dataDxfId="5"/>
    <tableColumn id="9" xr3:uid="{11402AD9-AD11-4921-B6F7-2A3397C40B72}" uniqueName="9" name="requesting_location" queryTableFieldId="9" dataDxfId="4"/>
    <tableColumn id="10" xr3:uid="{E8EDD650-D31C-4F64-AA3D-F6D196B1943F}" uniqueName="10" name="assigned_department" queryTableFieldId="10" dataDxfId="3"/>
    <tableColumn id="11" xr3:uid="{CBF6C16E-143B-4589-8269-54E88A2E69A4}" uniqueName="11" name="assigned_owner" queryTableFieldId="11" dataDxfId="2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1"/>
    <tableColumn id="20" xr3:uid="{3AD83A7D-C03B-4A45-BC8F-FB5901509577}" uniqueName="20" name="resolution_note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D45"/>
  <sheetViews>
    <sheetView showGridLines="0" workbookViewId="0">
      <pane ySplit="7" topLeftCell="A8" activePane="bottomLeft" state="frozen"/>
      <selection pane="bottomLeft" activeCell="G33" sqref="G33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8" t="s">
        <v>97</v>
      </c>
    </row>
    <row r="2" spans="1:2" ht="18" customHeight="1" x14ac:dyDescent="0.35">
      <c r="A2" s="2"/>
    </row>
    <row r="3" spans="1:2" ht="21" x14ac:dyDescent="0.35">
      <c r="A3" s="4" t="s">
        <v>119</v>
      </c>
    </row>
    <row r="4" spans="1:2" ht="21" x14ac:dyDescent="0.35">
      <c r="A4" s="4"/>
    </row>
    <row r="5" spans="1:2" ht="15.75" x14ac:dyDescent="0.25">
      <c r="A5" s="3" t="s">
        <v>116</v>
      </c>
    </row>
    <row r="7" spans="1:2" ht="15.75" x14ac:dyDescent="0.25">
      <c r="A7" s="3" t="s">
        <v>117</v>
      </c>
    </row>
    <row r="8" spans="1:2" ht="15.75" x14ac:dyDescent="0.25">
      <c r="A8" s="3"/>
    </row>
    <row r="10" spans="1:2" ht="18.75" x14ac:dyDescent="0.3">
      <c r="A10" s="5" t="s">
        <v>98</v>
      </c>
    </row>
    <row r="12" spans="1:2" ht="17.25" x14ac:dyDescent="0.3">
      <c r="A12" s="10" t="s">
        <v>99</v>
      </c>
      <c r="B12" s="9">
        <v>15</v>
      </c>
    </row>
    <row r="13" spans="1:2" ht="17.25" x14ac:dyDescent="0.3">
      <c r="A13" s="10" t="s">
        <v>118</v>
      </c>
      <c r="B13" s="9">
        <v>3</v>
      </c>
    </row>
    <row r="14" spans="1:2" ht="17.25" x14ac:dyDescent="0.3">
      <c r="A14" s="10" t="s">
        <v>100</v>
      </c>
      <c r="B14" s="9">
        <v>5</v>
      </c>
    </row>
    <row r="15" spans="1:2" ht="17.25" x14ac:dyDescent="0.3">
      <c r="A15" s="10" t="s">
        <v>101</v>
      </c>
      <c r="B15" s="9">
        <v>3</v>
      </c>
    </row>
    <row r="16" spans="1:2" ht="17.25" x14ac:dyDescent="0.3">
      <c r="A16" s="10" t="s">
        <v>102</v>
      </c>
      <c r="B16" s="9">
        <v>5</v>
      </c>
    </row>
    <row r="19" spans="1:1" ht="18.75" x14ac:dyDescent="0.3">
      <c r="A19" s="5" t="s">
        <v>103</v>
      </c>
    </row>
    <row r="21" spans="1:1" x14ac:dyDescent="0.25">
      <c r="A21" t="s">
        <v>104</v>
      </c>
    </row>
    <row r="22" spans="1:1" x14ac:dyDescent="0.25">
      <c r="A22" t="s">
        <v>105</v>
      </c>
    </row>
    <row r="23" spans="1:1" x14ac:dyDescent="0.25">
      <c r="A23" t="s">
        <v>106</v>
      </c>
    </row>
    <row r="24" spans="1:1" x14ac:dyDescent="0.25">
      <c r="A24" t="s">
        <v>108</v>
      </c>
    </row>
    <row r="25" spans="1:1" x14ac:dyDescent="0.25">
      <c r="A25" t="s">
        <v>107</v>
      </c>
    </row>
    <row r="26" spans="1:1" s="11" customFormat="1" x14ac:dyDescent="0.25"/>
    <row r="28" spans="1:1" ht="18.75" x14ac:dyDescent="0.3">
      <c r="A28" s="6"/>
    </row>
    <row r="29" spans="1:1" ht="18.75" x14ac:dyDescent="0.3">
      <c r="A29" s="5" t="s">
        <v>120</v>
      </c>
    </row>
    <row r="31" spans="1:1" x14ac:dyDescent="0.25">
      <c r="A31" t="s">
        <v>121</v>
      </c>
    </row>
    <row r="33" spans="1:4" ht="46.5" customHeight="1" x14ac:dyDescent="0.25">
      <c r="A33" s="28" t="s">
        <v>122</v>
      </c>
      <c r="B33" s="28"/>
      <c r="C33" s="28"/>
      <c r="D33" s="28"/>
    </row>
    <row r="36" spans="1:4" s="26" customFormat="1" x14ac:dyDescent="0.25"/>
    <row r="38" spans="1:4" ht="18.75" x14ac:dyDescent="0.3">
      <c r="A38" s="5" t="s">
        <v>110</v>
      </c>
    </row>
    <row r="39" spans="1:4" ht="18.75" x14ac:dyDescent="0.3">
      <c r="A39" s="5"/>
    </row>
    <row r="40" spans="1:4" x14ac:dyDescent="0.25">
      <c r="A40" t="s">
        <v>111</v>
      </c>
    </row>
    <row r="41" spans="1:4" x14ac:dyDescent="0.25">
      <c r="A41" t="s">
        <v>112</v>
      </c>
    </row>
    <row r="42" spans="1:4" x14ac:dyDescent="0.25">
      <c r="A42" t="s">
        <v>113</v>
      </c>
    </row>
    <row r="43" spans="1:4" x14ac:dyDescent="0.25">
      <c r="A43" t="s">
        <v>114</v>
      </c>
    </row>
    <row r="44" spans="1:4" x14ac:dyDescent="0.25">
      <c r="A44" t="s">
        <v>115</v>
      </c>
    </row>
    <row r="45" spans="1:4" s="11" customFormat="1" x14ac:dyDescent="0.25"/>
  </sheetData>
  <mergeCells count="1">
    <mergeCell ref="A33:D3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L27"/>
  <sheetViews>
    <sheetView showGridLines="0" tabSelected="1" workbookViewId="0">
      <selection activeCell="J17" sqref="J17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.42578125" customWidth="1"/>
    <col min="7" max="7" width="6.7109375" customWidth="1"/>
    <col min="8" max="8" width="5.7109375" customWidth="1"/>
    <col min="9" max="9" width="20.85546875" bestFit="1" customWidth="1"/>
    <col min="10" max="10" width="12" bestFit="1" customWidth="1"/>
    <col min="12" max="12" width="18.140625" bestFit="1" customWidth="1"/>
    <col min="13" max="13" width="11.28515625" bestFit="1" customWidth="1"/>
  </cols>
  <sheetData>
    <row r="1" spans="1:12" ht="23.25" x14ac:dyDescent="0.35">
      <c r="A1" s="7" t="s">
        <v>109</v>
      </c>
    </row>
    <row r="4" spans="1:12" ht="18.75" x14ac:dyDescent="0.3">
      <c r="A4" s="6" t="s">
        <v>90</v>
      </c>
      <c r="E4" s="6" t="s">
        <v>91</v>
      </c>
      <c r="I4" s="6" t="s">
        <v>94</v>
      </c>
    </row>
    <row r="5" spans="1:12" x14ac:dyDescent="0.25">
      <c r="A5" s="13"/>
      <c r="B5" s="14" t="s">
        <v>95</v>
      </c>
      <c r="E5" s="13"/>
      <c r="F5" s="14" t="s">
        <v>95</v>
      </c>
      <c r="I5" s="13" t="s">
        <v>95</v>
      </c>
      <c r="J5" s="19"/>
      <c r="K5" s="19"/>
      <c r="L5" s="20"/>
    </row>
    <row r="6" spans="1:12" x14ac:dyDescent="0.25">
      <c r="A6" s="15" t="s">
        <v>30</v>
      </c>
      <c r="B6" s="16">
        <v>3</v>
      </c>
      <c r="E6" s="15" t="s">
        <v>40</v>
      </c>
      <c r="F6" s="16">
        <v>2</v>
      </c>
      <c r="I6" s="21"/>
      <c r="J6" s="22" t="s">
        <v>123</v>
      </c>
      <c r="K6" s="22" t="s">
        <v>124</v>
      </c>
      <c r="L6" s="23" t="s">
        <v>96</v>
      </c>
    </row>
    <row r="7" spans="1:12" x14ac:dyDescent="0.25">
      <c r="A7" s="15" t="s">
        <v>45</v>
      </c>
      <c r="B7" s="16">
        <v>3</v>
      </c>
      <c r="E7" s="15" t="s">
        <v>45</v>
      </c>
      <c r="F7" s="16">
        <v>3</v>
      </c>
      <c r="I7" s="15" t="s">
        <v>52</v>
      </c>
      <c r="J7" s="24">
        <v>1</v>
      </c>
      <c r="K7" s="24">
        <v>1</v>
      </c>
      <c r="L7" s="16"/>
    </row>
    <row r="8" spans="1:12" x14ac:dyDescent="0.25">
      <c r="A8" s="15" t="s">
        <v>21</v>
      </c>
      <c r="B8" s="16">
        <v>3</v>
      </c>
      <c r="E8" s="15" t="s">
        <v>66</v>
      </c>
      <c r="F8" s="16">
        <v>1</v>
      </c>
      <c r="I8" s="15" t="s">
        <v>22</v>
      </c>
      <c r="J8" s="24">
        <v>2</v>
      </c>
      <c r="K8" s="24">
        <v>2</v>
      </c>
      <c r="L8" s="16">
        <v>2</v>
      </c>
    </row>
    <row r="9" spans="1:12" x14ac:dyDescent="0.25">
      <c r="A9" s="15" t="s">
        <v>51</v>
      </c>
      <c r="B9" s="16">
        <v>3</v>
      </c>
      <c r="E9" s="15" t="s">
        <v>54</v>
      </c>
      <c r="F9" s="16">
        <v>3</v>
      </c>
      <c r="I9" s="15" t="s">
        <v>38</v>
      </c>
      <c r="J9" s="24"/>
      <c r="K9" s="24">
        <v>5</v>
      </c>
      <c r="L9" s="16">
        <v>1</v>
      </c>
    </row>
    <row r="10" spans="1:12" x14ac:dyDescent="0.25">
      <c r="A10" s="15" t="s">
        <v>37</v>
      </c>
      <c r="B10" s="16">
        <v>2</v>
      </c>
      <c r="E10" s="15" t="s">
        <v>25</v>
      </c>
      <c r="F10" s="16">
        <v>3</v>
      </c>
      <c r="I10" s="17" t="s">
        <v>87</v>
      </c>
      <c r="J10" s="25"/>
      <c r="K10" s="25"/>
      <c r="L10" s="18">
        <v>1</v>
      </c>
    </row>
    <row r="11" spans="1:12" x14ac:dyDescent="0.25">
      <c r="A11" s="17" t="s">
        <v>65</v>
      </c>
      <c r="B11" s="18">
        <v>1</v>
      </c>
      <c r="E11" s="17" t="s">
        <v>32</v>
      </c>
      <c r="F11" s="18">
        <v>3</v>
      </c>
    </row>
    <row r="13" spans="1:12" ht="74.25" customHeight="1" x14ac:dyDescent="0.25">
      <c r="A13" s="27" t="s">
        <v>127</v>
      </c>
      <c r="B13" s="27"/>
      <c r="E13" s="27" t="s">
        <v>131</v>
      </c>
      <c r="F13" s="27"/>
      <c r="I13" s="27" t="s">
        <v>128</v>
      </c>
      <c r="J13" s="27"/>
      <c r="K13" s="27"/>
      <c r="L13" s="27"/>
    </row>
    <row r="15" spans="1:12" x14ac:dyDescent="0.25">
      <c r="A15" s="1"/>
      <c r="E15" s="1"/>
    </row>
    <row r="17" spans="1:9" ht="18.75" x14ac:dyDescent="0.3">
      <c r="A17" s="6" t="s">
        <v>92</v>
      </c>
      <c r="E17" s="6" t="s">
        <v>93</v>
      </c>
      <c r="I17" s="6"/>
    </row>
    <row r="18" spans="1:9" x14ac:dyDescent="0.25">
      <c r="A18" s="13"/>
      <c r="B18" s="14" t="s">
        <v>95</v>
      </c>
      <c r="E18" s="13"/>
      <c r="F18" s="14" t="s">
        <v>95</v>
      </c>
    </row>
    <row r="19" spans="1:9" x14ac:dyDescent="0.25">
      <c r="A19" s="15" t="s">
        <v>123</v>
      </c>
      <c r="B19" s="16">
        <v>3</v>
      </c>
      <c r="E19" s="15" t="s">
        <v>125</v>
      </c>
      <c r="F19" s="16">
        <v>10</v>
      </c>
    </row>
    <row r="20" spans="1:9" x14ac:dyDescent="0.25">
      <c r="A20" s="15" t="s">
        <v>124</v>
      </c>
      <c r="B20" s="16">
        <v>8</v>
      </c>
      <c r="E20" s="17" t="s">
        <v>126</v>
      </c>
      <c r="F20" s="18">
        <v>5</v>
      </c>
    </row>
    <row r="21" spans="1:9" x14ac:dyDescent="0.25">
      <c r="A21" s="17" t="s">
        <v>96</v>
      </c>
      <c r="B21" s="18">
        <v>4</v>
      </c>
    </row>
    <row r="23" spans="1:9" ht="70.5" customHeight="1" x14ac:dyDescent="0.25">
      <c r="A23" s="27" t="s">
        <v>129</v>
      </c>
      <c r="B23" s="27"/>
      <c r="E23" s="27" t="s">
        <v>130</v>
      </c>
      <c r="F23" s="27"/>
    </row>
    <row r="24" spans="1:9" x14ac:dyDescent="0.25">
      <c r="A24" s="1"/>
    </row>
    <row r="25" spans="1:9" x14ac:dyDescent="0.25">
      <c r="A25" s="1"/>
    </row>
    <row r="27" spans="1:9" ht="18.75" x14ac:dyDescent="0.3">
      <c r="A27" s="6"/>
      <c r="F27" s="6"/>
    </row>
  </sheetData>
  <mergeCells count="5">
    <mergeCell ref="A13:B13"/>
    <mergeCell ref="E13:F13"/>
    <mergeCell ref="I13:L13"/>
    <mergeCell ref="A23:B23"/>
    <mergeCell ref="E23:F23"/>
  </mergeCells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2" bestFit="1" customWidth="1"/>
    <col min="3" max="3" width="18.85546875" style="12" bestFit="1" customWidth="1"/>
    <col min="4" max="5" width="15.5703125" style="12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2">
        <v>46162.341666666667</v>
      </c>
      <c r="C2" s="12">
        <v>46162.35</v>
      </c>
      <c r="D2" s="12">
        <v>46162.447916666664</v>
      </c>
      <c r="E2" s="12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2">
        <v>46162.377083333333</v>
      </c>
      <c r="C3" s="12">
        <v>46162.402777777781</v>
      </c>
      <c r="D3" s="12">
        <v>46163.59375</v>
      </c>
      <c r="E3" s="12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2">
        <v>46162.424305555556</v>
      </c>
      <c r="C4" s="12">
        <v>46162.436805555553</v>
      </c>
      <c r="D4" s="12">
        <v>46162.574999999997</v>
      </c>
      <c r="E4" s="12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2">
        <v>46162.476388888892</v>
      </c>
      <c r="C5" s="12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2">
        <v>46162.554166666669</v>
      </c>
      <c r="C6" s="12">
        <v>46162.577777777777</v>
      </c>
      <c r="D6" s="12">
        <v>46163.384722222225</v>
      </c>
      <c r="E6" s="12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2">
        <v>46162.584722222222</v>
      </c>
      <c r="C7" s="12">
        <v>46162.600694444445</v>
      </c>
      <c r="D7" s="12">
        <v>46162.679166666669</v>
      </c>
      <c r="E7" s="12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2">
        <v>46162.655555555553</v>
      </c>
      <c r="C8" s="12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2">
        <v>46162.677083333336</v>
      </c>
      <c r="C9" s="12">
        <v>46162.695138888892</v>
      </c>
      <c r="D9" s="12">
        <v>46162.751388888886</v>
      </c>
      <c r="E9" s="12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2">
        <v>46162.730555555558</v>
      </c>
      <c r="C10" s="12">
        <v>46162.756944444445</v>
      </c>
      <c r="D10" s="12">
        <v>46163.362500000003</v>
      </c>
      <c r="E10" s="12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2">
        <v>46162.75277777778</v>
      </c>
      <c r="C11" s="12">
        <v>46162.78125</v>
      </c>
      <c r="D11" s="12">
        <v>46164.470833333333</v>
      </c>
      <c r="E11" s="12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2">
        <v>46163.304166666669</v>
      </c>
      <c r="C12" s="12">
        <v>46163.320833333331</v>
      </c>
      <c r="D12" s="12">
        <v>46163.380555555559</v>
      </c>
      <c r="E12" s="12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2">
        <v>46163.34097222222</v>
      </c>
      <c r="C13" s="12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2">
        <v>46163.405555555553</v>
      </c>
      <c r="C14" s="12">
        <v>46163.429166666669</v>
      </c>
      <c r="D14" s="12">
        <v>46163.54791666667</v>
      </c>
      <c r="E14" s="12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2">
        <v>46163.452777777777</v>
      </c>
      <c r="C15" s="12">
        <v>46163.48541666667</v>
      </c>
      <c r="D15" s="12">
        <v>46164.654166666667</v>
      </c>
      <c r="E15" s="12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2">
        <v>46163.481249999997</v>
      </c>
      <c r="C16" s="12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2026-06-07T15:13:04Z</dcterms:modified>
</cp:coreProperties>
</file>