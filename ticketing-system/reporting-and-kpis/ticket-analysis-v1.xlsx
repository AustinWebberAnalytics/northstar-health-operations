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e29a6debf5eaf8e/Documents/GitHub/northstar-health-operations/ticketing-system/reporting-and-kpis/"/>
    </mc:Choice>
  </mc:AlternateContent>
  <xr:revisionPtr revIDLastSave="521" documentId="11_F25DC773A252ABDACC104871895B64DE5BDE58EE" xr6:coauthVersionLast="47" xr6:coauthVersionMax="47" xr10:uidLastSave="{BC8D9550-280C-499B-9FAE-045DB0C66A77}"/>
  <bookViews>
    <workbookView xWindow="-105" yWindow="0" windowWidth="19410" windowHeight="20985" activeTab="1" xr2:uid="{00000000-000D-0000-FFFF-FFFF00000000}"/>
  </bookViews>
  <sheets>
    <sheet name="Executive Summary" sheetId="11" r:id="rId1"/>
    <sheet name="Pivot Tables" sheetId="8" r:id="rId2"/>
    <sheet name="Raw Ticket Data" sheetId="2" r:id="rId3"/>
  </sheets>
  <definedNames>
    <definedName name="ExternalData_1" localSheetId="2" hidden="1">'Raw Ticket Data'!$A$1:$T$16</definedName>
  </definedNames>
  <calcPr calcId="162913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F8A68A-4408-4E5A-891B-2D7A7C7E8CAB}" keepAlive="1" name="Query - tickets-v1" description="Connection to the 'tickets-v1' query in the workbook." type="5" refreshedVersion="8" background="1" saveData="1">
    <dbPr connection="Provider=Microsoft.Mashup.OleDb.1;Data Source=$Workbook$;Location=tickets-v1;Extended Properties=&quot;&quot;" command="SELECT * FROM [tickets-v1]"/>
  </connection>
</connections>
</file>

<file path=xl/sharedStrings.xml><?xml version="1.0" encoding="utf-8"?>
<sst xmlns="http://schemas.openxmlformats.org/spreadsheetml/2006/main" count="220" uniqueCount="131">
  <si>
    <t>ticket_id</t>
  </si>
  <si>
    <t>created_at</t>
  </si>
  <si>
    <t>first_response_at</t>
  </si>
  <si>
    <t>resolved_at</t>
  </si>
  <si>
    <t>closed_at</t>
  </si>
  <si>
    <t>category</t>
  </si>
  <si>
    <t>priority</t>
  </si>
  <si>
    <t>status</t>
  </si>
  <si>
    <t>requesting_location</t>
  </si>
  <si>
    <t>assigned_department</t>
  </si>
  <si>
    <t>assigned_owner</t>
  </si>
  <si>
    <t>escalation_flag</t>
  </si>
  <si>
    <t>reopened_flag</t>
  </si>
  <si>
    <t>pending_flag</t>
  </si>
  <si>
    <t>sla_target_hours</t>
  </si>
  <si>
    <t>resolution_hours</t>
  </si>
  <si>
    <t>response_hours</t>
  </si>
  <si>
    <t>sla_met_flag</t>
  </si>
  <si>
    <t>summary</t>
  </si>
  <si>
    <t>resolution_notes</t>
  </si>
  <si>
    <t>INC-100001</t>
  </si>
  <si>
    <t>Inventory &amp; Supply</t>
  </si>
  <si>
    <t>Priority 2 — High</t>
  </si>
  <si>
    <t>Closed</t>
  </si>
  <si>
    <t>Raleigh Specialty Clinic 03</t>
  </si>
  <si>
    <t>Supply &amp; Inventory Operations</t>
  </si>
  <si>
    <t>Jordan Lee</t>
  </si>
  <si>
    <t>Inventory shortage reported for high-use clinical supply</t>
  </si>
  <si>
    <t>Emergency inventory transfer completed from Cary Distribution Hub 01</t>
  </si>
  <si>
    <t>INC-100002</t>
  </si>
  <si>
    <t>Vendor &amp; Delivery Management</t>
  </si>
  <si>
    <t>Durham Outpatient Clinic 07</t>
  </si>
  <si>
    <t>Vendor &amp; Service Management</t>
  </si>
  <si>
    <t>Samantha Ortiz</t>
  </si>
  <si>
    <t>Delayed vendor shipment impacting clinic inventory availability</t>
  </si>
  <si>
    <t>Vendor escalation completed and expedited replacement shipment arranged</t>
  </si>
  <si>
    <t>INC-100003</t>
  </si>
  <si>
    <t>Scheduling &amp; Resource Coordination</t>
  </si>
  <si>
    <t>Priority 3 — Moderate</t>
  </si>
  <si>
    <t>Wake Forest Clinic 11</t>
  </si>
  <si>
    <t>Clinical Operations Support</t>
  </si>
  <si>
    <t>Marcus Nguyen</t>
  </si>
  <si>
    <t>Staff scheduling conflict affecting afternoon patient support coverage</t>
  </si>
  <si>
    <t>Temporary staffing reassignment coordinated successfully</t>
  </si>
  <si>
    <t>INC-100004</t>
  </si>
  <si>
    <t>Data Quality &amp; Compliance</t>
  </si>
  <si>
    <t>In Progress</t>
  </si>
  <si>
    <t>Avery Patel</t>
  </si>
  <si>
    <t>Duplicate operational records identified during reporting audit</t>
  </si>
  <si>
    <t/>
  </si>
  <si>
    <t>INC-100005</t>
  </si>
  <si>
    <t>Operational Incident</t>
  </si>
  <si>
    <t>Priority 1 — Critical</t>
  </si>
  <si>
    <t>Cary Distribution Hub 01</t>
  </si>
  <si>
    <t>Operations Coordination Center</t>
  </si>
  <si>
    <t>Taylor Brooks</t>
  </si>
  <si>
    <t>Distribution workflow interruption impacting multiple clinic deliveries</t>
  </si>
  <si>
    <t>Emergency operational rerouting initiated and distribution backlog stabilized</t>
  </si>
  <si>
    <t>INC-100006</t>
  </si>
  <si>
    <t>Routine inventory replenishment delay reported</t>
  </si>
  <si>
    <t>Inventory restock completed through regional transfer coordination</t>
  </si>
  <si>
    <t>INC-100007</t>
  </si>
  <si>
    <t>Pending</t>
  </si>
  <si>
    <t>Vendor shipment tracking unavailable during scheduled delivery window</t>
  </si>
  <si>
    <t>INC-100008</t>
  </si>
  <si>
    <t>Technical &amp; Systems Support</t>
  </si>
  <si>
    <t>Operational Analytics &amp; Reporting</t>
  </si>
  <si>
    <t>Dashboard access permissions preventing operational reporting review</t>
  </si>
  <si>
    <t>User access permissions corrected and validated successfully</t>
  </si>
  <si>
    <t>INC-100009</t>
  </si>
  <si>
    <t>Unexpected staffing shortage impacting morning operational support coverage</t>
  </si>
  <si>
    <t>Temporary staffing support coordinated through regional scheduling pool</t>
  </si>
  <si>
    <t>INC-100010</t>
  </si>
  <si>
    <t>Operational reporting discrepancies identified during audit validation</t>
  </si>
  <si>
    <t>Duplicate reporting records corrected and audit reconciliation completed</t>
  </si>
  <si>
    <t>INC-100011</t>
  </si>
  <si>
    <t>Clinical intake workflow interruption affecting patient scheduling operations</t>
  </si>
  <si>
    <t>Emergency operational rerouting restored intake continuity</t>
  </si>
  <si>
    <t>INC-100012</t>
  </si>
  <si>
    <t>Backordered inventory item impacting scheduled clinic procedure availability</t>
  </si>
  <si>
    <t>INC-100013</t>
  </si>
  <si>
    <t>Vendor labeling discrepancy identified during inbound shipment review</t>
  </si>
  <si>
    <t>Corrected shipment documentation received and verified</t>
  </si>
  <si>
    <t>INC-100014</t>
  </si>
  <si>
    <t>Operational workflow disruption caused by regional network outage</t>
  </si>
  <si>
    <t>Temporary offline workflow procedures implemented until restoration completed</t>
  </si>
  <si>
    <t>INC-100015</t>
  </si>
  <si>
    <t>Priority 4 — Low</t>
  </si>
  <si>
    <t>Assigned</t>
  </si>
  <si>
    <t>Historical reporting documentation request submitted for compliance review</t>
  </si>
  <si>
    <t>Ticket Volume by Category</t>
  </si>
  <si>
    <t>Ticket Volume by Department</t>
  </si>
  <si>
    <t>SLA Compliance</t>
  </si>
  <si>
    <t>Escalation Analysis</t>
  </si>
  <si>
    <t>SLA by Priority</t>
  </si>
  <si>
    <t>Ticket Count</t>
  </si>
  <si>
    <t>Open / Unresolved</t>
  </si>
  <si>
    <t>Northstar Health Operations</t>
  </si>
  <si>
    <t>Operational KPI Highlights</t>
  </si>
  <si>
    <t>Total Operational Tickets</t>
  </si>
  <si>
    <t>Escalated Tickets</t>
  </si>
  <si>
    <t>SLA Failures</t>
  </si>
  <si>
    <t>Departments Handling Tickets</t>
  </si>
  <si>
    <t>Key Operational Observations</t>
  </si>
  <si>
    <t>• Escalated operational incidents demonstrate significantly higher SLA failure risk.</t>
  </si>
  <si>
    <t>• Vendor-dependent workflows appear associated with delayed resolution timelines and pending ticket states.</t>
  </si>
  <si>
    <t>• Supply &amp; Inventory Operations and Data Quality &amp; Compliance currently show elevated workload concentration.</t>
  </si>
  <si>
    <t>• Critical operational incidents demonstrate disproportionate organizational impact relative to ticket volume.</t>
  </si>
  <si>
    <t>• Multiple unresolved tickets indicate potential backlog growth risk if operational demand increases.</t>
  </si>
  <si>
    <t xml:space="preserve">Operational KPI Workspace Summary </t>
  </si>
  <si>
    <t>Recommended Operational Focus Areas</t>
  </si>
  <si>
    <t>• Review escalation routing procedures for high-priority operational incidents.</t>
  </si>
  <si>
    <t>• Evaluate vendor response consistency and shipment visibility processes.</t>
  </si>
  <si>
    <t>• Monitor unresolved ticket growth to reduce backlog accumulation risk.</t>
  </si>
  <si>
    <t>• Assess workload distribution across operational support departments.</t>
  </si>
  <si>
    <t>• Continue monitoring SLA performance trends for escalated operational workflows.</t>
  </si>
  <si>
    <r>
      <t xml:space="preserve">Purpose: </t>
    </r>
    <r>
      <rPr>
        <sz val="12"/>
        <rFont val="Calibri"/>
        <family val="2"/>
        <scheme val="minor"/>
      </rPr>
      <t>Provide a high-level overview of ticket volume, service performance, escalation activity, and operational conditions during the reporting period.</t>
    </r>
  </si>
  <si>
    <t>Reporting Period: May 2026</t>
  </si>
  <si>
    <t>Open / Unresolved Tickets</t>
  </si>
  <si>
    <t>Executive Summary</t>
  </si>
  <si>
    <t>Recommended Focus Areas</t>
  </si>
  <si>
    <t>High</t>
  </si>
  <si>
    <t>The report is based on complete ticket activity captured during the reporting period. KPI calculations and observations are supported by the available operational data.</t>
  </si>
  <si>
    <t>SLA Not Met</t>
  </si>
  <si>
    <t>SLA Met</t>
  </si>
  <si>
    <t>Not Escalated</t>
  </si>
  <si>
    <t>Escalated</t>
  </si>
  <si>
    <t>• Inventory, vendor, and operational incidents account for most ticket activity. Continued monitoring may help identify recurring process bottlenecks within high-volume categories.</t>
  </si>
  <si>
    <t>• Critical and high-priority tickets experienced the highest rate of SLA failures. Response performance for high-impact incidents should continue to be monitored.</t>
  </si>
  <si>
    <t>• Most completed tickets met SLA targets. Open and unresolved tickets should be monitored to reduce future compliance risk.</t>
  </si>
  <si>
    <t>• One-third of ticket activity required escalation. Elevated escalation volume may indicate workflow dependencies or operational friction points.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</si>
</sst>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13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theme="3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2"/>
      <color theme="9" tint="-0.249977111117893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b/>
      <u/>
      <sz val="14"/>
      <color theme="9" tint="-0.249977111117893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u/>
      <sz val="18"/>
      <color theme="9" tint="-0.249977111117893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u/>
      <sz val="20"/>
      <color theme="9" tint="-0.249977111117893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left"/>
    </xf>
    <xf numFmtId="0" fontId="4" fillId="0" borderId="0" xfId="0" applyFont="1"/>
    <xf numFmtId="0" fontId="5" fillId="0" borderId="0" xfId="3" applyFont="1"/>
    <xf numFmtId="0" fontId="6" fillId="0" borderId="0" xfId="0" applyFont="1"/>
    <xf numFmtId="0" fontId="7" fillId="0" borderId="0" xfId="0" applyFont="1"/>
    <xf numFmtId="0" fontId="8" fillId="0" borderId="0" xfId="3" applyFont="1"/>
    <xf numFmtId="0" fontId="9" fillId="0" borderId="0" xfId="0" applyFont="1"/>
    <xf numFmtId="0" fontId="11" fillId="0" borderId="0" xfId="0" applyFont="1"/>
    <xf numFmtId="0" fontId="10" fillId="0" borderId="0" xfId="0" applyFont="1" applyAlignment="1">
      <alignment horizontal="center"/>
    </xf>
    <xf numFmtId="0" fontId="10" fillId="2" borderId="2" xfId="0" applyFont="1" applyFill="1" applyBorder="1"/>
    <xf numFmtId="0" fontId="0" fillId="0" borderId="3" xfId="0" applyBorder="1"/>
    <xf numFmtId="164" fontId="0" fillId="0" borderId="0" xfId="0" applyNumberFormat="1"/>
    <xf numFmtId="0" fontId="0" fillId="2" borderId="4" xfId="0" applyFill="1" applyBorder="1"/>
    <xf numFmtId="0" fontId="0" fillId="2" borderId="5" xfId="0" applyFill="1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2" borderId="10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0" xfId="0" applyFill="1" applyAlignment="1">
      <alignment horizontal="center"/>
    </xf>
    <xf numFmtId="0" fontId="0" fillId="2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 wrapText="1"/>
    </xf>
  </cellXfs>
  <cellStyles count="4">
    <cellStyle name="Heading 1" xfId="1" builtinId="16" hidden="1"/>
    <cellStyle name="Heading 4" xfId="3" builtinId="19"/>
    <cellStyle name="Normal" xfId="0" builtinId="0"/>
    <cellStyle name="Title" xfId="2" builtinId="15" hidden="1"/>
  </cellStyles>
  <dxfs count="5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\ hh:mm"/>
    </dxf>
    <dxf>
      <numFmt numFmtId="164" formatCode="yyyy\-mm\-dd\ hh:mm"/>
    </dxf>
    <dxf>
      <numFmt numFmtId="164" formatCode="yyyy\-mm\-dd\ hh:mm"/>
    </dxf>
    <dxf>
      <numFmt numFmtId="164" formatCode="yyyy\-mm\-dd\ hh:mm"/>
    </dxf>
    <dxf>
      <numFmt numFmtId="0" formatCode="General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[ticket-analysis-v1.xlsx]Pivot Tables!PivotTable2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 Ticket Volume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'Pivot Tables'!$A$6:$A$11</c:f>
              <c:strCache>
                <c:ptCount val="6"/>
                <c:pt idx="0">
                  <c:v>Vendor &amp; Delivery Management</c:v>
                </c:pt>
                <c:pt idx="1">
                  <c:v>Data Quality &amp; Compliance</c:v>
                </c:pt>
                <c:pt idx="2">
                  <c:v>Inventory &amp; Supply</c:v>
                </c:pt>
                <c:pt idx="3">
                  <c:v>Operational Incident</c:v>
                </c:pt>
                <c:pt idx="4">
                  <c:v>Scheduling &amp; Resource Coordination</c:v>
                </c:pt>
                <c:pt idx="5">
                  <c:v>Technical &amp; Systems Support</c:v>
                </c:pt>
              </c:strCache>
            </c:strRef>
          </c:cat>
          <c:val>
            <c:numRef>
              <c:f>'Pivot Tables'!$B$6:$B$11</c:f>
              <c:numCache>
                <c:formatCode>General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F-4654-AA50-AD45699A5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15303279"/>
        <c:axId val="415326799"/>
      </c:barChart>
      <c:catAx>
        <c:axId val="4153032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26799"/>
        <c:crosses val="autoZero"/>
        <c:auto val="1"/>
        <c:lblAlgn val="ctr"/>
        <c:lblOffset val="100"/>
        <c:noMultiLvlLbl val="0"/>
      </c:catAx>
      <c:valAx>
        <c:axId val="41532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03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9525</xdr:rowOff>
    </xdr:from>
    <xdr:to>
      <xdr:col>6</xdr:col>
      <xdr:colOff>438150</xdr:colOff>
      <xdr:row>46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AE8CA0-44FD-32B5-6B89-175EF122B5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2.590005902777" createdVersion="8" refreshedVersion="8" minRefreshableVersion="3" recordCount="15" xr:uid="{9D7E426B-AAB8-49CA-A43C-947026B00E61}">
  <cacheSource type="worksheet">
    <worksheetSource name="tickets_v1"/>
  </cacheSource>
  <cacheFields count="20">
    <cacheField name="ticket_id" numFmtId="0">
      <sharedItems/>
    </cacheField>
    <cacheField name="created_at" numFmtId="22">
      <sharedItems containsSemiMixedTypes="0" containsNonDate="0" containsDate="1" containsString="0" minDate="2026-05-20T08:12:00" maxDate="2026-05-21T11:33:00"/>
    </cacheField>
    <cacheField name="first_response_at" numFmtId="22">
      <sharedItems containsSemiMixedTypes="0" containsNonDate="0" containsDate="1" containsString="0" minDate="2026-05-20T08:24:00" maxDate="2026-05-21T12:02:00"/>
    </cacheField>
    <cacheField name="resolved_at" numFmtId="22">
      <sharedItems containsNonDate="0" containsDate="1" containsString="0" containsBlank="1" minDate="2026-05-20T10:45:00" maxDate="2026-05-22T15:42:00"/>
    </cacheField>
    <cacheField name="closed_at" numFmtId="22">
      <sharedItems containsNonDate="0" containsDate="1" containsString="0" containsBlank="1" minDate="2026-05-20T11:02:00" maxDate="2026-05-22T16:10:00"/>
    </cacheField>
    <cacheField name="category" numFmtId="0">
      <sharedItems count="6">
        <s v="Inventory &amp; Supply"/>
        <s v="Vendor &amp; Delivery Management"/>
        <s v="Scheduling &amp; Resource Coordination"/>
        <s v="Data Quality &amp; Compliance"/>
        <s v="Operational Incident"/>
        <s v="Technical &amp; Systems Support"/>
      </sharedItems>
    </cacheField>
    <cacheField name="priority" numFmtId="0">
      <sharedItems count="4">
        <s v="Priority 2 — High"/>
        <s v="Priority 3 — Moderate"/>
        <s v="Priority 1 — Critical"/>
        <s v="Priority 4 — Low"/>
      </sharedItems>
    </cacheField>
    <cacheField name="status" numFmtId="0">
      <sharedItems/>
    </cacheField>
    <cacheField name="requesting_location" numFmtId="0">
      <sharedItems/>
    </cacheField>
    <cacheField name="assigned_department" numFmtId="0">
      <sharedItems count="6">
        <s v="Supply &amp; Inventory Operations"/>
        <s v="Vendor &amp; Service Management"/>
        <s v="Clinical Operations Support"/>
        <s v="Data Quality &amp; Compliance"/>
        <s v="Operations Coordination Center"/>
        <s v="Operational Analytics &amp; Reporting"/>
      </sharedItems>
    </cacheField>
    <cacheField name="assigned_owner" numFmtId="0">
      <sharedItems/>
    </cacheField>
    <cacheField name="escalation_flag" numFmtId="0">
      <sharedItems count="2">
        <b v="0"/>
        <b v="1"/>
      </sharedItems>
    </cacheField>
    <cacheField name="reopened_flag" numFmtId="0">
      <sharedItems/>
    </cacheField>
    <cacheField name="pending_flag" numFmtId="0">
      <sharedItems/>
    </cacheField>
    <cacheField name="sla_target_hours" numFmtId="0">
      <sharedItems containsSemiMixedTypes="0" containsString="0" containsNumber="1" containsInteger="1" minValue="4" maxValue="120"/>
    </cacheField>
    <cacheField name="resolution_hours" numFmtId="0">
      <sharedItems containsString="0" containsBlank="1" containsNumber="1" minValue="1.78" maxValue="41.23"/>
    </cacheField>
    <cacheField name="response_hours" numFmtId="0">
      <sharedItems containsSemiMixedTypes="0" containsString="0" containsNumber="1" minValue="0.2" maxValue="0.78"/>
    </cacheField>
    <cacheField name="sla_met_flag" numFmtId="0">
      <sharedItems containsBlank="1" count="3">
        <b v="1"/>
        <b v="0"/>
        <m/>
      </sharedItems>
    </cacheField>
    <cacheField name="summary" numFmtId="0">
      <sharedItems/>
    </cacheField>
    <cacheField name="resolution_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INC-100001"/>
    <d v="2026-05-20T08:12:00"/>
    <d v="2026-05-20T08:24:00"/>
    <d v="2026-05-20T10:45:00"/>
    <d v="2026-05-20T11:02:00"/>
    <x v="0"/>
    <x v="0"/>
    <s v="Closed"/>
    <s v="Raleigh Specialty Clinic 03"/>
    <x v="0"/>
    <s v="Jordan Lee"/>
    <x v="0"/>
    <b v="0"/>
    <b v="0"/>
    <n v="24"/>
    <n v="2.5499999999999998"/>
    <n v="0.2"/>
    <x v="0"/>
    <s v="Inventory shortage reported for high-use clinical supply"/>
    <s v="Emergency inventory transfer completed from Cary Distribution Hub 01"/>
  </r>
  <r>
    <s v="INC-100002"/>
    <d v="2026-05-20T09:03:00"/>
    <d v="2026-05-20T09:40:00"/>
    <d v="2026-05-21T14:15:00"/>
    <d v="2026-05-21T14:42:00"/>
    <x v="1"/>
    <x v="0"/>
    <s v="Closed"/>
    <s v="Durham Outpatient Clinic 07"/>
    <x v="1"/>
    <s v="Samantha Ortiz"/>
    <x v="1"/>
    <b v="0"/>
    <b v="1"/>
    <n v="24"/>
    <n v="29.2"/>
    <n v="0.62"/>
    <x v="1"/>
    <s v="Delayed vendor shipment impacting clinic inventory availability"/>
    <s v="Vendor escalation completed and expedited replacement shipment arranged"/>
  </r>
  <r>
    <s v="INC-100003"/>
    <d v="2026-05-20T10:11:00"/>
    <d v="2026-05-20T10:29:00"/>
    <d v="2026-05-20T13:48:00"/>
    <d v="2026-05-20T14:03:00"/>
    <x v="2"/>
    <x v="1"/>
    <s v="Closed"/>
    <s v="Wake Forest Clinic 11"/>
    <x v="2"/>
    <s v="Marcus Nguyen"/>
    <x v="0"/>
    <b v="0"/>
    <b v="0"/>
    <n v="72"/>
    <n v="3.62"/>
    <n v="0.3"/>
    <x v="0"/>
    <s v="Staff scheduling conflict affecting afternoon patient support coverage"/>
    <s v="Temporary staffing reassignment coordinated successfully"/>
  </r>
  <r>
    <s v="INC-100004"/>
    <d v="2026-05-20T11:26:00"/>
    <d v="2026-05-20T11:55:00"/>
    <m/>
    <m/>
    <x v="3"/>
    <x v="1"/>
    <s v="In Progress"/>
    <s v="Raleigh Specialty Clinic 03"/>
    <x v="3"/>
    <s v="Avery Patel"/>
    <x v="0"/>
    <b v="0"/>
    <b v="0"/>
    <n v="72"/>
    <m/>
    <n v="0.48"/>
    <x v="2"/>
    <s v="Duplicate operational records identified during reporting audit"/>
    <s v=""/>
  </r>
  <r>
    <s v="INC-100005"/>
    <d v="2026-05-20T13:18:00"/>
    <d v="2026-05-20T13:52:00"/>
    <d v="2026-05-21T09:14:00"/>
    <d v="2026-05-21T09:40:00"/>
    <x v="4"/>
    <x v="2"/>
    <s v="Closed"/>
    <s v="Cary Distribution Hub 01"/>
    <x v="4"/>
    <s v="Taylor Brooks"/>
    <x v="1"/>
    <b v="0"/>
    <b v="0"/>
    <n v="4"/>
    <n v="19.93"/>
    <n v="0.56999999999999995"/>
    <x v="1"/>
    <s v="Distribution workflow interruption impacting multiple clinic deliveries"/>
    <s v="Emergency operational rerouting initiated and distribution backlog stabilized"/>
  </r>
  <r>
    <s v="INC-100006"/>
    <d v="2026-05-20T14:02:00"/>
    <d v="2026-05-20T14:25:00"/>
    <d v="2026-05-20T16:18:00"/>
    <d v="2026-05-20T16:40:00"/>
    <x v="0"/>
    <x v="1"/>
    <s v="Closed"/>
    <s v="Durham Outpatient Clinic 07"/>
    <x v="0"/>
    <s v="Jordan Lee"/>
    <x v="0"/>
    <b v="0"/>
    <b v="0"/>
    <n v="72"/>
    <n v="2.27"/>
    <n v="0.38"/>
    <x v="0"/>
    <s v="Routine inventory replenishment delay reported"/>
    <s v="Inventory restock completed through regional transfer coordination"/>
  </r>
  <r>
    <s v="INC-100007"/>
    <d v="2026-05-20T15:44:00"/>
    <d v="2026-05-20T16:28:00"/>
    <m/>
    <m/>
    <x v="1"/>
    <x v="0"/>
    <s v="Pending"/>
    <s v="Wake Forest Clinic 11"/>
    <x v="1"/>
    <s v="Samantha Ortiz"/>
    <x v="1"/>
    <b v="0"/>
    <b v="1"/>
    <n v="24"/>
    <m/>
    <n v="0.73"/>
    <x v="2"/>
    <s v="Vendor shipment tracking unavailable during scheduled delivery window"/>
    <s v=""/>
  </r>
  <r>
    <s v="INC-100008"/>
    <d v="2026-05-20T16:15:00"/>
    <d v="2026-05-20T16:41:00"/>
    <d v="2026-05-20T18:02:00"/>
    <d v="2026-05-20T18:18:00"/>
    <x v="5"/>
    <x v="1"/>
    <s v="Closed"/>
    <s v="Raleigh Specialty Clinic 03"/>
    <x v="5"/>
    <s v="Avery Patel"/>
    <x v="0"/>
    <b v="0"/>
    <b v="0"/>
    <n v="72"/>
    <n v="1.78"/>
    <n v="0.43"/>
    <x v="0"/>
    <s v="Dashboard access permissions preventing operational reporting review"/>
    <s v="User access permissions corrected and validated successfully"/>
  </r>
  <r>
    <s v="INC-100009"/>
    <d v="2026-05-20T17:32:00"/>
    <d v="2026-05-20T18:10:00"/>
    <d v="2026-05-21T08:42:00"/>
    <d v="2026-05-21T09:11:00"/>
    <x v="2"/>
    <x v="0"/>
    <s v="Closed"/>
    <s v="Cary Distribution Hub 01"/>
    <x v="2"/>
    <s v="Marcus Nguyen"/>
    <x v="0"/>
    <b v="0"/>
    <b v="0"/>
    <n v="24"/>
    <n v="15.17"/>
    <n v="0.63"/>
    <x v="0"/>
    <s v="Unexpected staffing shortage impacting morning operational support coverage"/>
    <s v="Temporary staffing support coordinated through regional scheduling pool"/>
  </r>
  <r>
    <s v="INC-100010"/>
    <d v="2026-05-20T18:04:00"/>
    <d v="2026-05-20T18:45:00"/>
    <d v="2026-05-22T11:18:00"/>
    <d v="2026-05-22T11:47:00"/>
    <x v="3"/>
    <x v="1"/>
    <s v="Closed"/>
    <s v="Durham Outpatient Clinic 07"/>
    <x v="3"/>
    <s v="Avery Patel"/>
    <x v="0"/>
    <b v="1"/>
    <b v="0"/>
    <n v="72"/>
    <n v="41.23"/>
    <n v="0.68"/>
    <x v="0"/>
    <s v="Operational reporting discrepancies identified during audit validation"/>
    <s v="Duplicate reporting records corrected and audit reconciliation completed"/>
  </r>
  <r>
    <s v="INC-100011"/>
    <d v="2026-05-21T07:18:00"/>
    <d v="2026-05-21T07:42:00"/>
    <d v="2026-05-21T09:08:00"/>
    <d v="2026-05-21T09:26:00"/>
    <x v="4"/>
    <x v="2"/>
    <s v="Closed"/>
    <s v="Raleigh Specialty Clinic 03"/>
    <x v="4"/>
    <s v="Taylor Brooks"/>
    <x v="1"/>
    <b v="0"/>
    <b v="0"/>
    <n v="4"/>
    <n v="1.83"/>
    <n v="0.4"/>
    <x v="0"/>
    <s v="Clinical intake workflow interruption affecting patient scheduling operations"/>
    <s v="Emergency operational rerouting restored intake continuity"/>
  </r>
  <r>
    <s v="INC-100012"/>
    <d v="2026-05-21T08:11:00"/>
    <d v="2026-05-21T08:55:00"/>
    <m/>
    <m/>
    <x v="0"/>
    <x v="0"/>
    <s v="In Progress"/>
    <s v="Wake Forest Clinic 11"/>
    <x v="0"/>
    <s v="Jordan Lee"/>
    <x v="0"/>
    <b v="0"/>
    <b v="0"/>
    <n v="24"/>
    <m/>
    <n v="0.73"/>
    <x v="2"/>
    <s v="Backordered inventory item impacting scheduled clinic procedure availability"/>
    <s v=""/>
  </r>
  <r>
    <s v="INC-100013"/>
    <d v="2026-05-21T09:44:00"/>
    <d v="2026-05-21T10:18:00"/>
    <d v="2026-05-21T13:09:00"/>
    <d v="2026-05-21T13:34:00"/>
    <x v="1"/>
    <x v="1"/>
    <s v="Closed"/>
    <s v="Cary Distribution Hub 01"/>
    <x v="1"/>
    <s v="Samantha Ortiz"/>
    <x v="0"/>
    <b v="0"/>
    <b v="0"/>
    <n v="72"/>
    <n v="3.42"/>
    <n v="0.56999999999999995"/>
    <x v="0"/>
    <s v="Vendor labeling discrepancy identified during inbound shipment review"/>
    <s v="Corrected shipment documentation received and verified"/>
  </r>
  <r>
    <s v="INC-100014"/>
    <d v="2026-05-21T10:52:00"/>
    <d v="2026-05-21T11:39:00"/>
    <d v="2026-05-22T15:42:00"/>
    <d v="2026-05-22T16:10:00"/>
    <x v="4"/>
    <x v="0"/>
    <s v="Closed"/>
    <s v="Durham Outpatient Clinic 07"/>
    <x v="4"/>
    <s v="Taylor Brooks"/>
    <x v="1"/>
    <b v="0"/>
    <b v="1"/>
    <n v="24"/>
    <n v="28.83"/>
    <n v="0.78"/>
    <x v="1"/>
    <s v="Operational workflow disruption caused by regional network outage"/>
    <s v="Temporary offline workflow procedures implemented until restoration completed"/>
  </r>
  <r>
    <s v="INC-100015"/>
    <d v="2026-05-21T11:33:00"/>
    <d v="2026-05-21T12:02:00"/>
    <m/>
    <m/>
    <x v="3"/>
    <x v="3"/>
    <s v="Assigned"/>
    <s v="Raleigh Specialty Clinic 03"/>
    <x v="3"/>
    <s v="Avery Patel"/>
    <x v="0"/>
    <b v="0"/>
    <b v="0"/>
    <n v="120"/>
    <m/>
    <n v="0.48"/>
    <x v="2"/>
    <s v="Historical reporting documentation request submitted for compliance review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1B2F50-164C-4AF1-98DA-5D67B6FE9F52}" name="PivotTable4" cacheId="5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A18:B21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n="SLA Not Met" x="1"/>
        <item n="SLA Met" x="0"/>
        <item n="Open / Unresolved" x="2"/>
        <item t="default"/>
      </items>
    </pivotField>
    <pivotField showAll="0"/>
    <pivotField showAll="0"/>
  </pivotFields>
  <rowFields count="1">
    <field x="17"/>
  </rowFields>
  <rowItems count="3">
    <i>
      <x/>
    </i>
    <i>
      <x v="1"/>
    </i>
    <i>
      <x v="2"/>
    </i>
  </rowItems>
  <colItems count="1">
    <i/>
  </colItems>
  <dataFields count="1">
    <dataField name="Ticket Count" fld="0" subtotal="count" baseField="0" baseItem="0"/>
  </dataFields>
  <formats count="9">
    <format dxfId="21">
      <pivotArea outline="0" collapsedLevelsAreSubtotals="1" fieldPosition="0"/>
    </format>
    <format dxfId="20">
      <pivotArea dataOnly="0" labelOnly="1" outline="0" axis="axisValues" fieldPosition="0"/>
    </format>
    <format dxfId="19">
      <pivotArea dataOnly="0" labelOnly="1" outline="0" axis="axisValues" fieldPosition="0"/>
    </format>
    <format dxfId="18">
      <pivotArea grandRow="1" outline="0" collapsedLevelsAreSubtotals="1" fieldPosition="0"/>
    </format>
    <format dxfId="17">
      <pivotArea dataOnly="0" labelOnly="1" grandRow="1" outline="0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17" count="0"/>
        </references>
      </pivotArea>
    </format>
    <format dxfId="1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83C0DB-D316-4062-937D-7849D5F5D8B6}" name="PivotTable3" cacheId="5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E5:F11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3"/>
        <item x="5"/>
        <item x="4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6">
    <i>
      <x/>
    </i>
    <i>
      <x v="1"/>
    </i>
    <i>
      <x v="2"/>
    </i>
    <i>
      <x v="3"/>
    </i>
    <i>
      <x v="4"/>
    </i>
    <i>
      <x v="5"/>
    </i>
  </rowItems>
  <colItems count="1">
    <i/>
  </colItems>
  <dataFields count="1">
    <dataField name="Ticket Count" fld="0" subtotal="count" baseField="0" baseItem="0"/>
  </dataFields>
  <formats count="9">
    <format dxfId="30">
      <pivotArea outline="0" collapsedLevelsAreSubtotals="1" fieldPosition="0"/>
    </format>
    <format dxfId="29">
      <pivotArea dataOnly="0" labelOnly="1" outline="0" axis="axisValues" fieldPosition="0"/>
    </format>
    <format dxfId="28">
      <pivotArea dataOnly="0" labelOnly="1" outline="0" axis="axisValues" fieldPosition="0"/>
    </format>
    <format dxfId="27">
      <pivotArea grandRow="1" outline="0" collapsedLevelsAreSubtotals="1" fieldPosition="0"/>
    </format>
    <format dxfId="26">
      <pivotArea dataOnly="0" labelOnly="1" grandRow="1" outline="0" fieldPosition="0"/>
    </format>
    <format dxfId="25">
      <pivotArea type="all" dataOnly="0" outline="0" fieldPosition="0"/>
    </format>
    <format dxfId="24">
      <pivotArea outline="0" collapsedLevelsAreSubtotals="1" fieldPosition="0"/>
    </format>
    <format dxfId="23">
      <pivotArea dataOnly="0" labelOnly="1" fieldPosition="0">
        <references count="1">
          <reference field="9" count="0"/>
        </references>
      </pivotArea>
    </format>
    <format dxfId="2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26521D-55DC-44D0-9B2F-69FA4EC77E75}" name="PivotTable2" cacheId="5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 chartFormat="2">
  <location ref="A5:B11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axis="axisRow" showAll="0" sortType="descending">
      <items count="7">
        <item x="3"/>
        <item x="0"/>
        <item x="4"/>
        <item x="2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6">
    <i>
      <x v="5"/>
    </i>
    <i>
      <x/>
    </i>
    <i>
      <x v="1"/>
    </i>
    <i>
      <x v="2"/>
    </i>
    <i>
      <x v="3"/>
    </i>
    <i>
      <x v="4"/>
    </i>
  </rowItems>
  <colItems count="1">
    <i/>
  </colItems>
  <dataFields count="1">
    <dataField name="Ticket Count" fld="0" subtotal="count" baseField="0" baseItem="0"/>
  </dataFields>
  <formats count="9">
    <format dxfId="39">
      <pivotArea outline="0" collapsedLevelsAreSubtotals="1" fieldPosition="0"/>
    </format>
    <format dxfId="38">
      <pivotArea dataOnly="0" labelOnly="1" outline="0" axis="axisValues" fieldPosition="0"/>
    </format>
    <format dxfId="37">
      <pivotArea dataOnly="0" labelOnly="1" outline="0" axis="axisValues" fieldPosition="0"/>
    </format>
    <format dxfId="36">
      <pivotArea grandRow="1" outline="0" collapsedLevelsAreSubtotals="1" fieldPosition="0"/>
    </format>
    <format dxfId="35">
      <pivotArea dataOnly="0" labelOnly="1" grandRow="1" outline="0" fieldPosition="0"/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dataOnly="0" labelOnly="1" fieldPosition="0">
        <references count="1">
          <reference field="5" count="0"/>
        </references>
      </pivotArea>
    </format>
    <format dxfId="31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E0EE18-22CF-48BF-8A21-FC3CFB9322C4}" name="PivotTable14" cacheId="5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I5:L10" firstHeaderRow="1" firstDataRow="2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n="SLA Not Met" x="1"/>
        <item n="SLA Met" x="0"/>
        <item n="Open / Unresolved" x="2"/>
        <item t="default"/>
      </items>
    </pivotField>
    <pivotField showAll="0"/>
    <pivotField showAll="0"/>
  </pivotFields>
  <rowFields count="1">
    <field x="6"/>
  </rowFields>
  <rowItems count="4">
    <i>
      <x/>
    </i>
    <i>
      <x v="1"/>
    </i>
    <i>
      <x v="2"/>
    </i>
    <i>
      <x v="3"/>
    </i>
  </rowItems>
  <colFields count="1">
    <field x="17"/>
  </colFields>
  <colItems count="3">
    <i>
      <x/>
    </i>
    <i>
      <x v="1"/>
    </i>
    <i>
      <x v="2"/>
    </i>
  </colItems>
  <dataFields count="1">
    <dataField name="Ticket Count" fld="0" subtotal="count" baseField="0" baseItem="0"/>
  </dataFields>
  <formats count="10">
    <format dxfId="49">
      <pivotArea outline="0" collapsedLevelsAreSubtotals="1" fieldPosition="0"/>
    </format>
    <format dxfId="48">
      <pivotArea dataOnly="0" labelOnly="1" fieldPosition="0">
        <references count="1">
          <reference field="17" count="0"/>
        </references>
      </pivotArea>
    </format>
    <format dxfId="47">
      <pivotArea dataOnly="0" labelOnly="1" grandCol="1" outline="0" fieldPosition="0"/>
    </format>
    <format dxfId="46">
      <pivotArea type="origin" dataOnly="0" labelOnly="1" outline="0" fieldPosition="0"/>
    </format>
    <format dxfId="45">
      <pivotArea type="topRight" dataOnly="0" labelOnly="1" outline="0" fieldPosition="0"/>
    </format>
    <format dxfId="44">
      <pivotArea dataOnly="0" labelOnly="1" fieldPosition="0">
        <references count="1">
          <reference field="17" count="0"/>
        </references>
      </pivotArea>
    </format>
    <format dxfId="43">
      <pivotArea dataOnly="0" labelOnly="1" grandCol="1" outline="0" fieldPosition="0"/>
    </format>
    <format dxfId="42">
      <pivotArea grandRow="1" outline="0" collapsedLevelsAreSubtotals="1" fieldPosition="0"/>
    </format>
    <format dxfId="41">
      <pivotArea dataOnly="0" labelOnly="1" grandRow="1" outline="0" fieldPosition="0"/>
    </format>
    <format dxfId="40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12E683-BE2F-4DB1-B66C-F4A6084D6199}" name="PivotTable5" cacheId="5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E18:F20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n="Not Escalated" x="0"/>
        <item n="Escalated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2">
    <i>
      <x/>
    </i>
    <i>
      <x v="1"/>
    </i>
  </rowItems>
  <colItems count="1">
    <i/>
  </colItems>
  <dataFields count="1">
    <dataField name="Ticket Count" fld="0" subtotal="count" baseField="0" baseItem="0"/>
  </dataFields>
  <formats count="9">
    <format dxfId="58">
      <pivotArea outline="0" collapsedLevelsAreSubtotals="1" fieldPosition="0"/>
    </format>
    <format dxfId="57">
      <pivotArea dataOnly="0" labelOnly="1" outline="0" axis="axisValues" fieldPosition="0"/>
    </format>
    <format dxfId="56">
      <pivotArea dataOnly="0" labelOnly="1" outline="0" axis="axisValues" fieldPosition="0"/>
    </format>
    <format dxfId="55">
      <pivotArea grandRow="1" outline="0" collapsedLevelsAreSubtotals="1" fieldPosition="0"/>
    </format>
    <format dxfId="54">
      <pivotArea dataOnly="0" labelOnly="1" grandRow="1" outline="0" fieldPosition="0"/>
    </format>
    <format dxfId="53">
      <pivotArea type="all" dataOnly="0" outline="0" fieldPosition="0"/>
    </format>
    <format dxfId="52">
      <pivotArea outline="0" collapsedLevelsAreSubtotals="1" fieldPosition="0"/>
    </format>
    <format dxfId="51">
      <pivotArea dataOnly="0" labelOnly="1" fieldPosition="0">
        <references count="1">
          <reference field="11" count="0"/>
        </references>
      </pivotArea>
    </format>
    <format dxfId="5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8BF5D1B-C2A7-4957-9980-89617D38A83F}" autoFormatId="16" applyNumberFormats="0" applyBorderFormats="0" applyFontFormats="0" applyPatternFormats="0" applyAlignmentFormats="0" applyWidthHeightFormats="0">
  <queryTableRefresh nextId="21">
    <queryTableFields count="20">
      <queryTableField id="1" name="ticket_id" tableColumnId="1"/>
      <queryTableField id="2" name="created_at" tableColumnId="2"/>
      <queryTableField id="3" name="first_response_at" tableColumnId="3"/>
      <queryTableField id="4" name="resolved_at" tableColumnId="4"/>
      <queryTableField id="5" name="closed_at" tableColumnId="5"/>
      <queryTableField id="6" name="category" tableColumnId="6"/>
      <queryTableField id="7" name="priority" tableColumnId="7"/>
      <queryTableField id="8" name="status" tableColumnId="8"/>
      <queryTableField id="9" name="requesting_location" tableColumnId="9"/>
      <queryTableField id="10" name="assigned_department" tableColumnId="10"/>
      <queryTableField id="11" name="assigned_owner" tableColumnId="11"/>
      <queryTableField id="12" name="escalation_flag" tableColumnId="12"/>
      <queryTableField id="13" name="reopened_flag" tableColumnId="13"/>
      <queryTableField id="14" name="pending_flag" tableColumnId="14"/>
      <queryTableField id="15" name="sla_target_hours" tableColumnId="15"/>
      <queryTableField id="16" name="resolution_hours" tableColumnId="16"/>
      <queryTableField id="17" name="response_hours" tableColumnId="17"/>
      <queryTableField id="18" name="sla_met_flag" tableColumnId="18"/>
      <queryTableField id="19" name="summary" tableColumnId="19"/>
      <queryTableField id="20" name="resolution_notes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97B8D0-E5C6-4059-B16C-616CFCE9AC0E}" name="tickets_v1" displayName="tickets_v1" ref="A1:T16" tableType="queryTable" totalsRowShown="0">
  <autoFilter ref="A1:T16" xr:uid="{DE97B8D0-E5C6-4059-B16C-616CFCE9AC0E}"/>
  <tableColumns count="20">
    <tableColumn id="1" xr3:uid="{09E599F5-5DC2-4648-A8A2-3111DB7D97E8}" uniqueName="1" name="ticket_id" queryTableFieldId="1" dataDxfId="12"/>
    <tableColumn id="2" xr3:uid="{66E46FE5-2BF1-4C00-88E5-BADA26B9AD28}" uniqueName="2" name="created_at" queryTableFieldId="2" dataDxfId="11"/>
    <tableColumn id="3" xr3:uid="{E589D37C-991B-4D9E-8734-2A39C3145538}" uniqueName="3" name="first_response_at" queryTableFieldId="3" dataDxfId="10"/>
    <tableColumn id="4" xr3:uid="{7CD77852-F46B-467B-8F18-B8CF225E34EF}" uniqueName="4" name="resolved_at" queryTableFieldId="4" dataDxfId="9"/>
    <tableColumn id="5" xr3:uid="{8A165E11-8702-4BDC-97B8-558593A55025}" uniqueName="5" name="closed_at" queryTableFieldId="5" dataDxfId="8"/>
    <tableColumn id="6" xr3:uid="{E9645A80-61A8-4CD1-868F-D804A78A41CF}" uniqueName="6" name="category" queryTableFieldId="6" dataDxfId="7"/>
    <tableColumn id="7" xr3:uid="{B8A06DA3-47F1-4B26-B454-02C191521227}" uniqueName="7" name="priority" queryTableFieldId="7" dataDxfId="6"/>
    <tableColumn id="8" xr3:uid="{30CC1504-542F-449A-A047-1DB5FA48F4E2}" uniqueName="8" name="status" queryTableFieldId="8" dataDxfId="5"/>
    <tableColumn id="9" xr3:uid="{11402AD9-AD11-4921-B6F7-2A3397C40B72}" uniqueName="9" name="requesting_location" queryTableFieldId="9" dataDxfId="4"/>
    <tableColumn id="10" xr3:uid="{E8EDD650-D31C-4F64-AA3D-F6D196B1943F}" uniqueName="10" name="assigned_department" queryTableFieldId="10" dataDxfId="3"/>
    <tableColumn id="11" xr3:uid="{CBF6C16E-143B-4589-8269-54E88A2E69A4}" uniqueName="11" name="assigned_owner" queryTableFieldId="11" dataDxfId="2"/>
    <tableColumn id="12" xr3:uid="{333F9053-52CE-4692-B0D9-936E0734A9AD}" uniqueName="12" name="escalation_flag" queryTableFieldId="12"/>
    <tableColumn id="13" xr3:uid="{C5C46961-D093-4C40-9DAE-60DCFCA7D500}" uniqueName="13" name="reopened_flag" queryTableFieldId="13"/>
    <tableColumn id="14" xr3:uid="{F488B704-C567-4436-B6A8-01C4AD19592F}" uniqueName="14" name="pending_flag" queryTableFieldId="14"/>
    <tableColumn id="15" xr3:uid="{B311CC88-55D8-44FB-9E39-8D16F5B15E0F}" uniqueName="15" name="sla_target_hours" queryTableFieldId="15"/>
    <tableColumn id="16" xr3:uid="{62724D38-EBC7-42AA-B061-AB26F0B655B8}" uniqueName="16" name="resolution_hours" queryTableFieldId="16"/>
    <tableColumn id="17" xr3:uid="{BDBE98A7-7B7B-4058-95A6-4FBCD833FF06}" uniqueName="17" name="response_hours" queryTableFieldId="17"/>
    <tableColumn id="18" xr3:uid="{26B2574B-E442-49CA-9FE5-20E5CD3D80CF}" uniqueName="18" name="sla_met_flag" queryTableFieldId="18"/>
    <tableColumn id="19" xr3:uid="{21856449-41DC-4B1B-A0D6-C8627B60B080}" uniqueName="19" name="summary" queryTableFieldId="19" dataDxfId="1"/>
    <tableColumn id="20" xr3:uid="{3AD83A7D-C03B-4A45-BC8F-FB5901509577}" uniqueName="20" name="resolution_notes" queryTableFieldId="20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55D82-B18D-478C-8743-BB6B0E9B43B7}">
  <dimension ref="A1:D46"/>
  <sheetViews>
    <sheetView showGridLines="0" workbookViewId="0">
      <pane ySplit="7" topLeftCell="A8" activePane="bottomLeft" state="frozen"/>
      <selection pane="bottomLeft" activeCell="J33" sqref="J33"/>
    </sheetView>
  </sheetViews>
  <sheetFormatPr defaultRowHeight="15" x14ac:dyDescent="0.25"/>
  <cols>
    <col min="1" max="1" width="36" customWidth="1"/>
    <col min="2" max="2" width="12" bestFit="1" customWidth="1"/>
  </cols>
  <sheetData>
    <row r="1" spans="1:2" ht="26.25" x14ac:dyDescent="0.4">
      <c r="A1" s="8" t="s">
        <v>97</v>
      </c>
    </row>
    <row r="2" spans="1:2" ht="18" customHeight="1" x14ac:dyDescent="0.35">
      <c r="A2" s="2"/>
    </row>
    <row r="3" spans="1:2" ht="21" x14ac:dyDescent="0.35">
      <c r="A3" s="4" t="s">
        <v>119</v>
      </c>
    </row>
    <row r="4" spans="1:2" ht="21" x14ac:dyDescent="0.35">
      <c r="A4" s="4"/>
    </row>
    <row r="5" spans="1:2" ht="15.75" x14ac:dyDescent="0.25">
      <c r="A5" s="3" t="s">
        <v>116</v>
      </c>
    </row>
    <row r="7" spans="1:2" ht="15.75" x14ac:dyDescent="0.25">
      <c r="A7" s="3" t="s">
        <v>117</v>
      </c>
    </row>
    <row r="8" spans="1:2" ht="15.75" x14ac:dyDescent="0.25">
      <c r="A8" s="3"/>
    </row>
    <row r="10" spans="1:2" ht="18.75" x14ac:dyDescent="0.3">
      <c r="A10" s="5" t="s">
        <v>98</v>
      </c>
    </row>
    <row r="12" spans="1:2" ht="17.25" x14ac:dyDescent="0.3">
      <c r="A12" s="10" t="s">
        <v>99</v>
      </c>
      <c r="B12" s="9">
        <v>15</v>
      </c>
    </row>
    <row r="13" spans="1:2" ht="17.25" x14ac:dyDescent="0.3">
      <c r="A13" s="10" t="s">
        <v>118</v>
      </c>
      <c r="B13" s="9">
        <v>3</v>
      </c>
    </row>
    <row r="14" spans="1:2" ht="17.25" x14ac:dyDescent="0.3">
      <c r="A14" s="10" t="s">
        <v>100</v>
      </c>
      <c r="B14" s="9">
        <v>5</v>
      </c>
    </row>
    <row r="15" spans="1:2" ht="17.25" x14ac:dyDescent="0.3">
      <c r="A15" s="10" t="s">
        <v>101</v>
      </c>
      <c r="B15" s="9">
        <v>3</v>
      </c>
    </row>
    <row r="16" spans="1:2" ht="17.25" x14ac:dyDescent="0.3">
      <c r="A16" s="10" t="s">
        <v>102</v>
      </c>
      <c r="B16" s="9">
        <v>5</v>
      </c>
    </row>
    <row r="19" spans="1:1" ht="18.75" x14ac:dyDescent="0.3">
      <c r="A19" s="5" t="s">
        <v>103</v>
      </c>
    </row>
    <row r="21" spans="1:1" x14ac:dyDescent="0.25">
      <c r="A21" t="s">
        <v>104</v>
      </c>
    </row>
    <row r="22" spans="1:1" x14ac:dyDescent="0.25">
      <c r="A22" t="s">
        <v>105</v>
      </c>
    </row>
    <row r="23" spans="1:1" x14ac:dyDescent="0.25">
      <c r="A23" t="s">
        <v>106</v>
      </c>
    </row>
    <row r="24" spans="1:1" x14ac:dyDescent="0.25">
      <c r="A24" t="s">
        <v>108</v>
      </c>
    </row>
    <row r="25" spans="1:1" x14ac:dyDescent="0.25">
      <c r="A25" t="s">
        <v>107</v>
      </c>
    </row>
    <row r="26" spans="1:1" s="11" customFormat="1" x14ac:dyDescent="0.25"/>
    <row r="28" spans="1:1" ht="18.75" x14ac:dyDescent="0.3">
      <c r="A28" s="6"/>
    </row>
    <row r="29" spans="1:1" ht="18.75" x14ac:dyDescent="0.3">
      <c r="A29" s="5" t="s">
        <v>120</v>
      </c>
    </row>
    <row r="31" spans="1:1" x14ac:dyDescent="0.25">
      <c r="A31" t="s">
        <v>121</v>
      </c>
    </row>
    <row r="33" spans="1:4" ht="46.5" customHeight="1" x14ac:dyDescent="0.25">
      <c r="A33" s="26" t="s">
        <v>122</v>
      </c>
      <c r="B33" s="26"/>
      <c r="C33" s="26"/>
      <c r="D33" s="26"/>
    </row>
    <row r="39" spans="1:4" ht="18.75" x14ac:dyDescent="0.3">
      <c r="A39" s="5" t="s">
        <v>110</v>
      </c>
    </row>
    <row r="40" spans="1:4" ht="18.75" x14ac:dyDescent="0.3">
      <c r="A40" s="5"/>
    </row>
    <row r="41" spans="1:4" x14ac:dyDescent="0.25">
      <c r="A41" t="s">
        <v>111</v>
      </c>
    </row>
    <row r="42" spans="1:4" x14ac:dyDescent="0.25">
      <c r="A42" t="s">
        <v>112</v>
      </c>
    </row>
    <row r="43" spans="1:4" x14ac:dyDescent="0.25">
      <c r="A43" t="s">
        <v>113</v>
      </c>
    </row>
    <row r="44" spans="1:4" x14ac:dyDescent="0.25">
      <c r="A44" t="s">
        <v>114</v>
      </c>
    </row>
    <row r="45" spans="1:4" x14ac:dyDescent="0.25">
      <c r="A45" t="s">
        <v>115</v>
      </c>
    </row>
    <row r="46" spans="1:4" s="11" customFormat="1" x14ac:dyDescent="0.25"/>
  </sheetData>
  <mergeCells count="1">
    <mergeCell ref="A33:D33"/>
  </mergeCell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A6B5-0DBE-48E8-96B1-F4D3B84797B7}">
  <dimension ref="A1:L27"/>
  <sheetViews>
    <sheetView showGridLines="0" tabSelected="1" workbookViewId="0">
      <selection activeCell="I21" sqref="I21"/>
    </sheetView>
  </sheetViews>
  <sheetFormatPr defaultRowHeight="15" x14ac:dyDescent="0.25"/>
  <cols>
    <col min="1" max="1" width="29.42578125" customWidth="1"/>
    <col min="2" max="2" width="12" customWidth="1"/>
    <col min="3" max="3" width="8.42578125" customWidth="1"/>
    <col min="4" max="4" width="8" customWidth="1"/>
    <col min="5" max="5" width="30.42578125" customWidth="1"/>
    <col min="6" max="6" width="12.42578125" customWidth="1"/>
    <col min="7" max="7" width="6.7109375" customWidth="1"/>
    <col min="8" max="8" width="5.7109375" customWidth="1"/>
    <col min="9" max="9" width="20.85546875" bestFit="1" customWidth="1"/>
    <col min="10" max="10" width="12" bestFit="1" customWidth="1"/>
    <col min="12" max="12" width="18.140625" bestFit="1" customWidth="1"/>
    <col min="13" max="13" width="11.28515625" bestFit="1" customWidth="1"/>
  </cols>
  <sheetData>
    <row r="1" spans="1:12" ht="23.25" x14ac:dyDescent="0.35">
      <c r="A1" s="7" t="s">
        <v>109</v>
      </c>
    </row>
    <row r="4" spans="1:12" ht="18.75" x14ac:dyDescent="0.3">
      <c r="A4" s="6" t="s">
        <v>90</v>
      </c>
      <c r="E4" s="6" t="s">
        <v>91</v>
      </c>
      <c r="I4" s="6" t="s">
        <v>94</v>
      </c>
    </row>
    <row r="5" spans="1:12" x14ac:dyDescent="0.25">
      <c r="A5" s="13"/>
      <c r="B5" s="14" t="s">
        <v>95</v>
      </c>
      <c r="E5" s="13"/>
      <c r="F5" s="14" t="s">
        <v>95</v>
      </c>
      <c r="I5" s="13" t="s">
        <v>95</v>
      </c>
      <c r="J5" s="19"/>
      <c r="K5" s="19"/>
      <c r="L5" s="20"/>
    </row>
    <row r="6" spans="1:12" x14ac:dyDescent="0.25">
      <c r="A6" s="15" t="s">
        <v>30</v>
      </c>
      <c r="B6" s="16">
        <v>3</v>
      </c>
      <c r="E6" s="15" t="s">
        <v>40</v>
      </c>
      <c r="F6" s="16">
        <v>2</v>
      </c>
      <c r="I6" s="21"/>
      <c r="J6" s="22" t="s">
        <v>123</v>
      </c>
      <c r="K6" s="22" t="s">
        <v>124</v>
      </c>
      <c r="L6" s="23" t="s">
        <v>96</v>
      </c>
    </row>
    <row r="7" spans="1:12" x14ac:dyDescent="0.25">
      <c r="A7" s="15" t="s">
        <v>45</v>
      </c>
      <c r="B7" s="16">
        <v>3</v>
      </c>
      <c r="E7" s="15" t="s">
        <v>45</v>
      </c>
      <c r="F7" s="16">
        <v>3</v>
      </c>
      <c r="I7" s="15" t="s">
        <v>52</v>
      </c>
      <c r="J7" s="24">
        <v>1</v>
      </c>
      <c r="K7" s="24">
        <v>1</v>
      </c>
      <c r="L7" s="16"/>
    </row>
    <row r="8" spans="1:12" x14ac:dyDescent="0.25">
      <c r="A8" s="15" t="s">
        <v>21</v>
      </c>
      <c r="B8" s="16">
        <v>3</v>
      </c>
      <c r="E8" s="15" t="s">
        <v>66</v>
      </c>
      <c r="F8" s="16">
        <v>1</v>
      </c>
      <c r="I8" s="15" t="s">
        <v>22</v>
      </c>
      <c r="J8" s="24">
        <v>2</v>
      </c>
      <c r="K8" s="24">
        <v>2</v>
      </c>
      <c r="L8" s="16">
        <v>2</v>
      </c>
    </row>
    <row r="9" spans="1:12" x14ac:dyDescent="0.25">
      <c r="A9" s="15" t="s">
        <v>51</v>
      </c>
      <c r="B9" s="16">
        <v>3</v>
      </c>
      <c r="E9" s="15" t="s">
        <v>54</v>
      </c>
      <c r="F9" s="16">
        <v>3</v>
      </c>
      <c r="I9" s="15" t="s">
        <v>38</v>
      </c>
      <c r="J9" s="24"/>
      <c r="K9" s="24">
        <v>5</v>
      </c>
      <c r="L9" s="16">
        <v>1</v>
      </c>
    </row>
    <row r="10" spans="1:12" x14ac:dyDescent="0.25">
      <c r="A10" s="15" t="s">
        <v>37</v>
      </c>
      <c r="B10" s="16">
        <v>2</v>
      </c>
      <c r="E10" s="15" t="s">
        <v>25</v>
      </c>
      <c r="F10" s="16">
        <v>3</v>
      </c>
      <c r="I10" s="17" t="s">
        <v>87</v>
      </c>
      <c r="J10" s="25"/>
      <c r="K10" s="25"/>
      <c r="L10" s="18">
        <v>1</v>
      </c>
    </row>
    <row r="11" spans="1:12" x14ac:dyDescent="0.25">
      <c r="A11" s="17" t="s">
        <v>65</v>
      </c>
      <c r="B11" s="18">
        <v>1</v>
      </c>
      <c r="E11" s="17" t="s">
        <v>32</v>
      </c>
      <c r="F11" s="18">
        <v>3</v>
      </c>
    </row>
    <row r="13" spans="1:12" ht="81.75" customHeight="1" x14ac:dyDescent="0.25">
      <c r="A13" s="27" t="s">
        <v>127</v>
      </c>
      <c r="B13" s="27"/>
      <c r="E13" s="27" t="s">
        <v>127</v>
      </c>
      <c r="F13" s="27"/>
      <c r="I13" s="28" t="s">
        <v>128</v>
      </c>
      <c r="J13" s="28"/>
      <c r="K13" s="28"/>
      <c r="L13" s="28"/>
    </row>
    <row r="15" spans="1:12" x14ac:dyDescent="0.25">
      <c r="A15" s="1"/>
      <c r="E15" s="1"/>
    </row>
    <row r="17" spans="1:9" ht="18.75" x14ac:dyDescent="0.3">
      <c r="A17" s="6" t="s">
        <v>92</v>
      </c>
      <c r="E17" s="6" t="s">
        <v>93</v>
      </c>
      <c r="I17" s="6"/>
    </row>
    <row r="18" spans="1:9" x14ac:dyDescent="0.25">
      <c r="A18" s="13"/>
      <c r="B18" s="14" t="s">
        <v>95</v>
      </c>
      <c r="E18" s="13"/>
      <c r="F18" s="14" t="s">
        <v>95</v>
      </c>
    </row>
    <row r="19" spans="1:9" x14ac:dyDescent="0.25">
      <c r="A19" s="15" t="s">
        <v>123</v>
      </c>
      <c r="B19" s="16">
        <v>3</v>
      </c>
      <c r="E19" s="15" t="s">
        <v>125</v>
      </c>
      <c r="F19" s="16">
        <v>10</v>
      </c>
    </row>
    <row r="20" spans="1:9" x14ac:dyDescent="0.25">
      <c r="A20" s="15" t="s">
        <v>124</v>
      </c>
      <c r="B20" s="16">
        <v>8</v>
      </c>
      <c r="E20" s="17" t="s">
        <v>126</v>
      </c>
      <c r="F20" s="18">
        <v>5</v>
      </c>
    </row>
    <row r="21" spans="1:9" x14ac:dyDescent="0.25">
      <c r="A21" s="17" t="s">
        <v>96</v>
      </c>
      <c r="B21" s="18">
        <v>4</v>
      </c>
    </row>
    <row r="23" spans="1:9" ht="70.5" customHeight="1" x14ac:dyDescent="0.25">
      <c r="A23" s="27" t="s">
        <v>129</v>
      </c>
      <c r="B23" s="27"/>
      <c r="E23" s="27" t="s">
        <v>130</v>
      </c>
      <c r="F23" s="27"/>
    </row>
    <row r="24" spans="1:9" x14ac:dyDescent="0.25">
      <c r="A24" s="1"/>
    </row>
    <row r="25" spans="1:9" x14ac:dyDescent="0.25">
      <c r="A25" s="1"/>
    </row>
    <row r="27" spans="1:9" ht="18.75" x14ac:dyDescent="0.3">
      <c r="A27" s="6"/>
      <c r="F27" s="6"/>
    </row>
  </sheetData>
  <mergeCells count="5">
    <mergeCell ref="A13:B13"/>
    <mergeCell ref="E13:F13"/>
    <mergeCell ref="I13:L13"/>
    <mergeCell ref="A23:B23"/>
    <mergeCell ref="E23:F23"/>
  </mergeCells>
  <pageMargins left="0.7" right="0.7" top="0.75" bottom="0.75" header="0.3" footer="0.3"/>
  <pageSetup orientation="portrait" horizontalDpi="4294967293" verticalDpi="0" r:id="rId6"/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6685-45FD-40D6-9543-B9641A6E3939}">
  <dimension ref="A1:T16"/>
  <sheetViews>
    <sheetView workbookViewId="0">
      <selection activeCell="E1" activeCellId="3" sqref="B1:B1048576 C1:C1048576 D1:D1048576 E1:E1048576"/>
    </sheetView>
  </sheetViews>
  <sheetFormatPr defaultRowHeight="15" x14ac:dyDescent="0.25"/>
  <cols>
    <col min="1" max="1" width="11" bestFit="1" customWidth="1"/>
    <col min="2" max="2" width="15.5703125" style="12" bestFit="1" customWidth="1"/>
    <col min="3" max="3" width="18.85546875" style="12" bestFit="1" customWidth="1"/>
    <col min="4" max="5" width="15.5703125" style="12" bestFit="1" customWidth="1"/>
    <col min="6" max="6" width="34" bestFit="1" customWidth="1"/>
    <col min="7" max="7" width="20.85546875" bestFit="1" customWidth="1"/>
    <col min="8" max="8" width="10.7109375" bestFit="1" customWidth="1"/>
    <col min="9" max="9" width="26.42578125" bestFit="1" customWidth="1"/>
    <col min="10" max="10" width="31.7109375" bestFit="1" customWidth="1"/>
    <col min="11" max="11" width="17.85546875" bestFit="1" customWidth="1"/>
    <col min="12" max="12" width="16.7109375" bestFit="1" customWidth="1"/>
    <col min="13" max="13" width="16.42578125" bestFit="1" customWidth="1"/>
    <col min="14" max="14" width="14.85546875" bestFit="1" customWidth="1"/>
    <col min="15" max="15" width="18.140625" bestFit="1" customWidth="1"/>
    <col min="16" max="16" width="18.5703125" bestFit="1" customWidth="1"/>
    <col min="17" max="17" width="17.5703125" bestFit="1" customWidth="1"/>
    <col min="18" max="18" width="14.5703125" bestFit="1" customWidth="1"/>
    <col min="19" max="20" width="67.85546875" bestFit="1" customWidth="1"/>
  </cols>
  <sheetData>
    <row r="1" spans="1:20" x14ac:dyDescent="0.25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20</v>
      </c>
      <c r="B2" s="12">
        <v>46162.341666666667</v>
      </c>
      <c r="C2" s="12">
        <v>46162.35</v>
      </c>
      <c r="D2" s="12">
        <v>46162.447916666664</v>
      </c>
      <c r="E2" s="12">
        <v>46162.459722222222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b">
        <v>0</v>
      </c>
      <c r="M2" t="b">
        <v>0</v>
      </c>
      <c r="N2" t="b">
        <v>0</v>
      </c>
      <c r="O2">
        <v>24</v>
      </c>
      <c r="P2">
        <v>2.5499999999999998</v>
      </c>
      <c r="Q2">
        <v>0.2</v>
      </c>
      <c r="R2" t="b">
        <v>1</v>
      </c>
      <c r="S2" t="s">
        <v>27</v>
      </c>
      <c r="T2" t="s">
        <v>28</v>
      </c>
    </row>
    <row r="3" spans="1:20" x14ac:dyDescent="0.25">
      <c r="A3" t="s">
        <v>29</v>
      </c>
      <c r="B3" s="12">
        <v>46162.377083333333</v>
      </c>
      <c r="C3" s="12">
        <v>46162.402777777781</v>
      </c>
      <c r="D3" s="12">
        <v>46163.59375</v>
      </c>
      <c r="E3" s="12">
        <v>46163.612500000003</v>
      </c>
      <c r="F3" t="s">
        <v>30</v>
      </c>
      <c r="G3" t="s">
        <v>22</v>
      </c>
      <c r="H3" t="s">
        <v>23</v>
      </c>
      <c r="I3" t="s">
        <v>31</v>
      </c>
      <c r="J3" t="s">
        <v>32</v>
      </c>
      <c r="K3" t="s">
        <v>33</v>
      </c>
      <c r="L3" t="b">
        <v>1</v>
      </c>
      <c r="M3" t="b">
        <v>0</v>
      </c>
      <c r="N3" t="b">
        <v>1</v>
      </c>
      <c r="O3">
        <v>24</v>
      </c>
      <c r="P3">
        <v>29.2</v>
      </c>
      <c r="Q3">
        <v>0.62</v>
      </c>
      <c r="R3" t="b">
        <v>0</v>
      </c>
      <c r="S3" t="s">
        <v>34</v>
      </c>
      <c r="T3" t="s">
        <v>35</v>
      </c>
    </row>
    <row r="4" spans="1:20" x14ac:dyDescent="0.25">
      <c r="A4" t="s">
        <v>36</v>
      </c>
      <c r="B4" s="12">
        <v>46162.424305555556</v>
      </c>
      <c r="C4" s="12">
        <v>46162.436805555553</v>
      </c>
      <c r="D4" s="12">
        <v>46162.574999999997</v>
      </c>
      <c r="E4" s="12">
        <v>46162.585416666669</v>
      </c>
      <c r="F4" t="s">
        <v>37</v>
      </c>
      <c r="G4" t="s">
        <v>38</v>
      </c>
      <c r="H4" t="s">
        <v>23</v>
      </c>
      <c r="I4" t="s">
        <v>39</v>
      </c>
      <c r="J4" t="s">
        <v>40</v>
      </c>
      <c r="K4" t="s">
        <v>41</v>
      </c>
      <c r="L4" t="b">
        <v>0</v>
      </c>
      <c r="M4" t="b">
        <v>0</v>
      </c>
      <c r="N4" t="b">
        <v>0</v>
      </c>
      <c r="O4">
        <v>72</v>
      </c>
      <c r="P4">
        <v>3.62</v>
      </c>
      <c r="Q4">
        <v>0.3</v>
      </c>
      <c r="R4" t="b">
        <v>1</v>
      </c>
      <c r="S4" t="s">
        <v>42</v>
      </c>
      <c r="T4" t="s">
        <v>43</v>
      </c>
    </row>
    <row r="5" spans="1:20" x14ac:dyDescent="0.25">
      <c r="A5" t="s">
        <v>44</v>
      </c>
      <c r="B5" s="12">
        <v>46162.476388888892</v>
      </c>
      <c r="C5" s="12">
        <v>46162.496527777781</v>
      </c>
      <c r="F5" t="s">
        <v>45</v>
      </c>
      <c r="G5" t="s">
        <v>38</v>
      </c>
      <c r="H5" t="s">
        <v>46</v>
      </c>
      <c r="I5" t="s">
        <v>24</v>
      </c>
      <c r="J5" t="s">
        <v>45</v>
      </c>
      <c r="K5" t="s">
        <v>47</v>
      </c>
      <c r="L5" t="b">
        <v>0</v>
      </c>
      <c r="M5" t="b">
        <v>0</v>
      </c>
      <c r="N5" t="b">
        <v>0</v>
      </c>
      <c r="O5">
        <v>72</v>
      </c>
      <c r="Q5">
        <v>0.48</v>
      </c>
      <c r="S5" t="s">
        <v>48</v>
      </c>
      <c r="T5" t="s">
        <v>49</v>
      </c>
    </row>
    <row r="6" spans="1:20" x14ac:dyDescent="0.25">
      <c r="A6" t="s">
        <v>50</v>
      </c>
      <c r="B6" s="12">
        <v>46162.554166666669</v>
      </c>
      <c r="C6" s="12">
        <v>46162.577777777777</v>
      </c>
      <c r="D6" s="12">
        <v>46163.384722222225</v>
      </c>
      <c r="E6" s="12">
        <v>46163.402777777781</v>
      </c>
      <c r="F6" t="s">
        <v>51</v>
      </c>
      <c r="G6" t="s">
        <v>52</v>
      </c>
      <c r="H6" t="s">
        <v>23</v>
      </c>
      <c r="I6" t="s">
        <v>53</v>
      </c>
      <c r="J6" t="s">
        <v>54</v>
      </c>
      <c r="K6" t="s">
        <v>55</v>
      </c>
      <c r="L6" t="b">
        <v>1</v>
      </c>
      <c r="M6" t="b">
        <v>0</v>
      </c>
      <c r="N6" t="b">
        <v>0</v>
      </c>
      <c r="O6">
        <v>4</v>
      </c>
      <c r="P6">
        <v>19.93</v>
      </c>
      <c r="Q6">
        <v>0.56999999999999995</v>
      </c>
      <c r="R6" t="b">
        <v>0</v>
      </c>
      <c r="S6" t="s">
        <v>56</v>
      </c>
      <c r="T6" t="s">
        <v>57</v>
      </c>
    </row>
    <row r="7" spans="1:20" x14ac:dyDescent="0.25">
      <c r="A7" t="s">
        <v>58</v>
      </c>
      <c r="B7" s="12">
        <v>46162.584722222222</v>
      </c>
      <c r="C7" s="12">
        <v>46162.600694444445</v>
      </c>
      <c r="D7" s="12">
        <v>46162.679166666669</v>
      </c>
      <c r="E7" s="12">
        <v>46162.694444444445</v>
      </c>
      <c r="F7" t="s">
        <v>21</v>
      </c>
      <c r="G7" t="s">
        <v>38</v>
      </c>
      <c r="H7" t="s">
        <v>23</v>
      </c>
      <c r="I7" t="s">
        <v>31</v>
      </c>
      <c r="J7" t="s">
        <v>25</v>
      </c>
      <c r="K7" t="s">
        <v>26</v>
      </c>
      <c r="L7" t="b">
        <v>0</v>
      </c>
      <c r="M7" t="b">
        <v>0</v>
      </c>
      <c r="N7" t="b">
        <v>0</v>
      </c>
      <c r="O7">
        <v>72</v>
      </c>
      <c r="P7">
        <v>2.27</v>
      </c>
      <c r="Q7">
        <v>0.38</v>
      </c>
      <c r="R7" t="b">
        <v>1</v>
      </c>
      <c r="S7" t="s">
        <v>59</v>
      </c>
      <c r="T7" t="s">
        <v>60</v>
      </c>
    </row>
    <row r="8" spans="1:20" x14ac:dyDescent="0.25">
      <c r="A8" t="s">
        <v>61</v>
      </c>
      <c r="B8" s="12">
        <v>46162.655555555553</v>
      </c>
      <c r="C8" s="12">
        <v>46162.686111111114</v>
      </c>
      <c r="F8" t="s">
        <v>30</v>
      </c>
      <c r="G8" t="s">
        <v>22</v>
      </c>
      <c r="H8" t="s">
        <v>62</v>
      </c>
      <c r="I8" t="s">
        <v>39</v>
      </c>
      <c r="J8" t="s">
        <v>32</v>
      </c>
      <c r="K8" t="s">
        <v>33</v>
      </c>
      <c r="L8" t="b">
        <v>1</v>
      </c>
      <c r="M8" t="b">
        <v>0</v>
      </c>
      <c r="N8" t="b">
        <v>1</v>
      </c>
      <c r="O8">
        <v>24</v>
      </c>
      <c r="Q8">
        <v>0.73</v>
      </c>
      <c r="S8" t="s">
        <v>63</v>
      </c>
      <c r="T8" t="s">
        <v>49</v>
      </c>
    </row>
    <row r="9" spans="1:20" x14ac:dyDescent="0.25">
      <c r="A9" t="s">
        <v>64</v>
      </c>
      <c r="B9" s="12">
        <v>46162.677083333336</v>
      </c>
      <c r="C9" s="12">
        <v>46162.695138888892</v>
      </c>
      <c r="D9" s="12">
        <v>46162.751388888886</v>
      </c>
      <c r="E9" s="12">
        <v>46162.762499999997</v>
      </c>
      <c r="F9" t="s">
        <v>65</v>
      </c>
      <c r="G9" t="s">
        <v>38</v>
      </c>
      <c r="H9" t="s">
        <v>23</v>
      </c>
      <c r="I9" t="s">
        <v>24</v>
      </c>
      <c r="J9" t="s">
        <v>66</v>
      </c>
      <c r="K9" t="s">
        <v>47</v>
      </c>
      <c r="L9" t="b">
        <v>0</v>
      </c>
      <c r="M9" t="b">
        <v>0</v>
      </c>
      <c r="N9" t="b">
        <v>0</v>
      </c>
      <c r="O9">
        <v>72</v>
      </c>
      <c r="P9">
        <v>1.78</v>
      </c>
      <c r="Q9">
        <v>0.43</v>
      </c>
      <c r="R9" t="b">
        <v>1</v>
      </c>
      <c r="S9" t="s">
        <v>67</v>
      </c>
      <c r="T9" t="s">
        <v>68</v>
      </c>
    </row>
    <row r="10" spans="1:20" x14ac:dyDescent="0.25">
      <c r="A10" t="s">
        <v>69</v>
      </c>
      <c r="B10" s="12">
        <v>46162.730555555558</v>
      </c>
      <c r="C10" s="12">
        <v>46162.756944444445</v>
      </c>
      <c r="D10" s="12">
        <v>46163.362500000003</v>
      </c>
      <c r="E10" s="12">
        <v>46163.382638888892</v>
      </c>
      <c r="F10" t="s">
        <v>37</v>
      </c>
      <c r="G10" t="s">
        <v>22</v>
      </c>
      <c r="H10" t="s">
        <v>23</v>
      </c>
      <c r="I10" t="s">
        <v>53</v>
      </c>
      <c r="J10" t="s">
        <v>40</v>
      </c>
      <c r="K10" t="s">
        <v>41</v>
      </c>
      <c r="L10" t="b">
        <v>0</v>
      </c>
      <c r="M10" t="b">
        <v>0</v>
      </c>
      <c r="N10" t="b">
        <v>0</v>
      </c>
      <c r="O10">
        <v>24</v>
      </c>
      <c r="P10">
        <v>15.17</v>
      </c>
      <c r="Q10">
        <v>0.63</v>
      </c>
      <c r="R10" t="b">
        <v>1</v>
      </c>
      <c r="S10" t="s">
        <v>70</v>
      </c>
      <c r="T10" t="s">
        <v>71</v>
      </c>
    </row>
    <row r="11" spans="1:20" x14ac:dyDescent="0.25">
      <c r="A11" t="s">
        <v>72</v>
      </c>
      <c r="B11" s="12">
        <v>46162.75277777778</v>
      </c>
      <c r="C11" s="12">
        <v>46162.78125</v>
      </c>
      <c r="D11" s="12">
        <v>46164.470833333333</v>
      </c>
      <c r="E11" s="12">
        <v>46164.490972222222</v>
      </c>
      <c r="F11" t="s">
        <v>45</v>
      </c>
      <c r="G11" t="s">
        <v>38</v>
      </c>
      <c r="H11" t="s">
        <v>23</v>
      </c>
      <c r="I11" t="s">
        <v>31</v>
      </c>
      <c r="J11" t="s">
        <v>45</v>
      </c>
      <c r="K11" t="s">
        <v>47</v>
      </c>
      <c r="L11" t="b">
        <v>0</v>
      </c>
      <c r="M11" t="b">
        <v>1</v>
      </c>
      <c r="N11" t="b">
        <v>0</v>
      </c>
      <c r="O11">
        <v>72</v>
      </c>
      <c r="P11">
        <v>41.23</v>
      </c>
      <c r="Q11">
        <v>0.68</v>
      </c>
      <c r="R11" t="b">
        <v>1</v>
      </c>
      <c r="S11" t="s">
        <v>73</v>
      </c>
      <c r="T11" t="s">
        <v>74</v>
      </c>
    </row>
    <row r="12" spans="1:20" x14ac:dyDescent="0.25">
      <c r="A12" t="s">
        <v>75</v>
      </c>
      <c r="B12" s="12">
        <v>46163.304166666669</v>
      </c>
      <c r="C12" s="12">
        <v>46163.320833333331</v>
      </c>
      <c r="D12" s="12">
        <v>46163.380555555559</v>
      </c>
      <c r="E12" s="12">
        <v>46163.393055555556</v>
      </c>
      <c r="F12" t="s">
        <v>51</v>
      </c>
      <c r="G12" t="s">
        <v>52</v>
      </c>
      <c r="H12" t="s">
        <v>23</v>
      </c>
      <c r="I12" t="s">
        <v>24</v>
      </c>
      <c r="J12" t="s">
        <v>54</v>
      </c>
      <c r="K12" t="s">
        <v>55</v>
      </c>
      <c r="L12" t="b">
        <v>1</v>
      </c>
      <c r="M12" t="b">
        <v>0</v>
      </c>
      <c r="N12" t="b">
        <v>0</v>
      </c>
      <c r="O12">
        <v>4</v>
      </c>
      <c r="P12">
        <v>1.83</v>
      </c>
      <c r="Q12">
        <v>0.4</v>
      </c>
      <c r="R12" t="b">
        <v>1</v>
      </c>
      <c r="S12" t="s">
        <v>76</v>
      </c>
      <c r="T12" t="s">
        <v>77</v>
      </c>
    </row>
    <row r="13" spans="1:20" x14ac:dyDescent="0.25">
      <c r="A13" t="s">
        <v>78</v>
      </c>
      <c r="B13" s="12">
        <v>46163.34097222222</v>
      </c>
      <c r="C13" s="12">
        <v>46163.371527777781</v>
      </c>
      <c r="F13" t="s">
        <v>21</v>
      </c>
      <c r="G13" t="s">
        <v>22</v>
      </c>
      <c r="H13" t="s">
        <v>46</v>
      </c>
      <c r="I13" t="s">
        <v>39</v>
      </c>
      <c r="J13" t="s">
        <v>25</v>
      </c>
      <c r="K13" t="s">
        <v>26</v>
      </c>
      <c r="L13" t="b">
        <v>0</v>
      </c>
      <c r="M13" t="b">
        <v>0</v>
      </c>
      <c r="N13" t="b">
        <v>0</v>
      </c>
      <c r="O13">
        <v>24</v>
      </c>
      <c r="Q13">
        <v>0.73</v>
      </c>
      <c r="S13" t="s">
        <v>79</v>
      </c>
      <c r="T13" t="s">
        <v>49</v>
      </c>
    </row>
    <row r="14" spans="1:20" x14ac:dyDescent="0.25">
      <c r="A14" t="s">
        <v>80</v>
      </c>
      <c r="B14" s="12">
        <v>46163.405555555553</v>
      </c>
      <c r="C14" s="12">
        <v>46163.429166666669</v>
      </c>
      <c r="D14" s="12">
        <v>46163.54791666667</v>
      </c>
      <c r="E14" s="12">
        <v>46163.56527777778</v>
      </c>
      <c r="F14" t="s">
        <v>30</v>
      </c>
      <c r="G14" t="s">
        <v>38</v>
      </c>
      <c r="H14" t="s">
        <v>23</v>
      </c>
      <c r="I14" t="s">
        <v>53</v>
      </c>
      <c r="J14" t="s">
        <v>32</v>
      </c>
      <c r="K14" t="s">
        <v>33</v>
      </c>
      <c r="L14" t="b">
        <v>0</v>
      </c>
      <c r="M14" t="b">
        <v>0</v>
      </c>
      <c r="N14" t="b">
        <v>0</v>
      </c>
      <c r="O14">
        <v>72</v>
      </c>
      <c r="P14">
        <v>3.42</v>
      </c>
      <c r="Q14">
        <v>0.56999999999999995</v>
      </c>
      <c r="R14" t="b">
        <v>1</v>
      </c>
      <c r="S14" t="s">
        <v>81</v>
      </c>
      <c r="T14" t="s">
        <v>82</v>
      </c>
    </row>
    <row r="15" spans="1:20" x14ac:dyDescent="0.25">
      <c r="A15" t="s">
        <v>83</v>
      </c>
      <c r="B15" s="12">
        <v>46163.452777777777</v>
      </c>
      <c r="C15" s="12">
        <v>46163.48541666667</v>
      </c>
      <c r="D15" s="12">
        <v>46164.654166666667</v>
      </c>
      <c r="E15" s="12">
        <v>46164.673611111109</v>
      </c>
      <c r="F15" t="s">
        <v>51</v>
      </c>
      <c r="G15" t="s">
        <v>22</v>
      </c>
      <c r="H15" t="s">
        <v>23</v>
      </c>
      <c r="I15" t="s">
        <v>31</v>
      </c>
      <c r="J15" t="s">
        <v>54</v>
      </c>
      <c r="K15" t="s">
        <v>55</v>
      </c>
      <c r="L15" t="b">
        <v>1</v>
      </c>
      <c r="M15" t="b">
        <v>0</v>
      </c>
      <c r="N15" t="b">
        <v>1</v>
      </c>
      <c r="O15">
        <v>24</v>
      </c>
      <c r="P15">
        <v>28.83</v>
      </c>
      <c r="Q15">
        <v>0.78</v>
      </c>
      <c r="R15" t="b">
        <v>0</v>
      </c>
      <c r="S15" t="s">
        <v>84</v>
      </c>
      <c r="T15" t="s">
        <v>85</v>
      </c>
    </row>
    <row r="16" spans="1:20" x14ac:dyDescent="0.25">
      <c r="A16" t="s">
        <v>86</v>
      </c>
      <c r="B16" s="12">
        <v>46163.481249999997</v>
      </c>
      <c r="C16" s="12">
        <v>46163.501388888886</v>
      </c>
      <c r="F16" t="s">
        <v>45</v>
      </c>
      <c r="G16" t="s">
        <v>87</v>
      </c>
      <c r="H16" t="s">
        <v>88</v>
      </c>
      <c r="I16" t="s">
        <v>24</v>
      </c>
      <c r="J16" t="s">
        <v>45</v>
      </c>
      <c r="K16" t="s">
        <v>47</v>
      </c>
      <c r="L16" t="b">
        <v>0</v>
      </c>
      <c r="M16" t="b">
        <v>0</v>
      </c>
      <c r="N16" t="b">
        <v>0</v>
      </c>
      <c r="O16">
        <v>120</v>
      </c>
      <c r="Q16">
        <v>0.48</v>
      </c>
      <c r="S16" t="s">
        <v>89</v>
      </c>
      <c r="T16" t="s">
        <v>49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C2AA09-E266-4878-BAE7-03BC96DBA9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Executive Summary</vt:lpstr>
      <vt:lpstr>Pivot Tables</vt:lpstr>
      <vt:lpstr>Raw Ticket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webber</dc:creator>
  <cp:lastModifiedBy>austin webber</cp:lastModifiedBy>
  <dcterms:created xsi:type="dcterms:W3CDTF">2015-06-05T18:17:20Z</dcterms:created>
  <dcterms:modified xsi:type="dcterms:W3CDTF">2026-06-06T18:43:38Z</dcterms:modified>
</cp:coreProperties>
</file>