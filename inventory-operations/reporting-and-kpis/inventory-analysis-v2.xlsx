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inventory-operations/reporting-and-kpis/"/>
    </mc:Choice>
  </mc:AlternateContent>
  <xr:revisionPtr revIDLastSave="324" documentId="11_F25DC773A252ABDACC104871895B64DE5BDE58EE" xr6:coauthVersionLast="47" xr6:coauthVersionMax="47" xr10:uidLastSave="{1186CAD1-2F49-4CBE-B6D7-31E38133E91E}"/>
  <bookViews>
    <workbookView minimized="1" xWindow="2295" yWindow="2295" windowWidth="23475" windowHeight="17640" xr2:uid="{00000000-000D-0000-FFFF-FFFF00000000}"/>
  </bookViews>
  <sheets>
    <sheet name="Executive Summary" sheetId="8" r:id="rId1"/>
    <sheet name="PivotTables" sheetId="1" r:id="rId2"/>
    <sheet name="vendor-shipments" sheetId="7" r:id="rId3"/>
    <sheet name="inventory-discrepancies" sheetId="6" r:id="rId4"/>
    <sheet name="shortage-events" sheetId="5" r:id="rId5"/>
    <sheet name="replenishment-events" sheetId="4" r:id="rId6"/>
    <sheet name="location-inventory" sheetId="3" r:id="rId7"/>
    <sheet name="inventory-items" sheetId="2" r:id="rId8"/>
  </sheets>
  <definedNames>
    <definedName name="ExternalData_1" localSheetId="7" hidden="1">'inventory-items'!$A$1:$G$9</definedName>
    <definedName name="ExternalData_2" localSheetId="6" hidden="1">'location-inventory'!$A$1:$I$9</definedName>
    <definedName name="ExternalData_3" localSheetId="5" hidden="1">'replenishment-events'!$A$1:$L$6</definedName>
    <definedName name="ExternalData_4" localSheetId="4" hidden="1">'shortage-events'!$A$1:$J$6</definedName>
    <definedName name="ExternalData_5" localSheetId="3" hidden="1">'inventory-discrepancies'!$A$1:$K$6</definedName>
    <definedName name="ExternalData_6" localSheetId="2" hidden="1">'vendor-shipments'!$A$1:$M$7</definedName>
  </definedNames>
  <calcPr calcId="162913"/>
  <pivotCaches>
    <pivotCache cacheId="8" r:id="rId9"/>
    <pivotCache cacheId="9" r:id="rId10"/>
    <pivotCache cacheId="10" r:id="rId11"/>
    <pivotCache cacheId="11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357B51-D3A3-492F-B537-8AF2A4B7C0BF}" keepAlive="1" name="Query - inventory-discrepancies" description="Connection to the 'inventory-discrepancies' query in the workbook." type="5" refreshedVersion="8" background="1" saveData="1">
    <dbPr connection="Provider=Microsoft.Mashup.OleDb.1;Data Source=$Workbook$;Location=inventory-discrepancies;Extended Properties=&quot;&quot;" command="SELECT * FROM [inventory-discrepancies]"/>
  </connection>
  <connection id="2" xr16:uid="{BC5E5CEB-4A10-4B45-920A-AD501C0672E6}" keepAlive="1" name="Query - inventory-items" description="Connection to the 'inventory-items' query in the workbook." type="5" refreshedVersion="8" background="1" saveData="1">
    <dbPr connection="Provider=Microsoft.Mashup.OleDb.1;Data Source=$Workbook$;Location=inventory-items;Extended Properties=&quot;&quot;" command="SELECT * FROM [inventory-items]"/>
  </connection>
  <connection id="3" xr16:uid="{3429D421-3BE0-49F5-8E7A-1C7563A3C1F5}" keepAlive="1" name="Query - location-inventory" description="Connection to the 'location-inventory' query in the workbook." type="5" refreshedVersion="8" background="1" saveData="1">
    <dbPr connection="Provider=Microsoft.Mashup.OleDb.1;Data Source=$Workbook$;Location=location-inventory;Extended Properties=&quot;&quot;" command="SELECT * FROM [location-inventory]"/>
  </connection>
  <connection id="4" xr16:uid="{68DD100F-C11B-4C87-BA23-2FA0EC9F9B0C}" keepAlive="1" name="Query - replenishment-events" description="Connection to the 'replenishment-events' query in the workbook." type="5" refreshedVersion="8" background="1" saveData="1">
    <dbPr connection="Provider=Microsoft.Mashup.OleDb.1;Data Source=$Workbook$;Location=replenishment-events;Extended Properties=&quot;&quot;" command="SELECT * FROM [replenishment-events]"/>
  </connection>
  <connection id="5" xr16:uid="{28008275-15A9-4AF5-8FC6-8146B8B110CF}" keepAlive="1" name="Query - shortage-events" description="Connection to the 'shortage-events' query in the workbook." type="5" refreshedVersion="8" background="1" saveData="1">
    <dbPr connection="Provider=Microsoft.Mashup.OleDb.1;Data Source=$Workbook$;Location=shortage-events;Extended Properties=&quot;&quot;" command="SELECT * FROM [shortage-events]"/>
  </connection>
  <connection id="6" xr16:uid="{2556BD29-B532-48C6-949B-3F70CA438950}" keepAlive="1" name="Query - vendor-shipments" description="Connection to the 'vendor-shipments' query in the workbook." type="5" refreshedVersion="8" background="1" saveData="1">
    <dbPr connection="Provider=Microsoft.Mashup.OleDb.1;Data Source=$Workbook$;Location=vendor-shipments;Extended Properties=&quot;&quot;" command="SELECT * FROM [vendor-shipments]"/>
  </connection>
</connections>
</file>

<file path=xl/sharedStrings.xml><?xml version="1.0" encoding="utf-8"?>
<sst xmlns="http://schemas.openxmlformats.org/spreadsheetml/2006/main" count="371" uniqueCount="213">
  <si>
    <t>item_id</t>
  </si>
  <si>
    <t>item_name</t>
  </si>
  <si>
    <t>item_category</t>
  </si>
  <si>
    <t>criticality_level</t>
  </si>
  <si>
    <t>unit_of_measure</t>
  </si>
  <si>
    <t>preferred_vendor_id</t>
  </si>
  <si>
    <t>active_flag</t>
  </si>
  <si>
    <t>ITEM-1001</t>
  </si>
  <si>
    <t>Nitrile Exam Gloves</t>
  </si>
  <si>
    <t>Clinical Supplies</t>
  </si>
  <si>
    <t>High</t>
  </si>
  <si>
    <t>box</t>
  </si>
  <si>
    <t>VEND-001</t>
  </si>
  <si>
    <t>ITEM-1002</t>
  </si>
  <si>
    <t>Sterile Gauze Pads</t>
  </si>
  <si>
    <t>Wound Care Supplies</t>
  </si>
  <si>
    <t>pack</t>
  </si>
  <si>
    <t>VEND-002</t>
  </si>
  <si>
    <t>ITEM-1003</t>
  </si>
  <si>
    <t>Syringe 5mL</t>
  </si>
  <si>
    <t>Critical</t>
  </si>
  <si>
    <t>case</t>
  </si>
  <si>
    <t>VEND-003</t>
  </si>
  <si>
    <t>ITEM-1004</t>
  </si>
  <si>
    <t>Alcohol Prep Pads</t>
  </si>
  <si>
    <t>Moderate</t>
  </si>
  <si>
    <t>ITEM-1005</t>
  </si>
  <si>
    <t>Surgical Masks</t>
  </si>
  <si>
    <t>PPE</t>
  </si>
  <si>
    <t>VEND-004</t>
  </si>
  <si>
    <t>ITEM-1006</t>
  </si>
  <si>
    <t>Thermometer Probe Covers</t>
  </si>
  <si>
    <t>ITEM-1007</t>
  </si>
  <si>
    <t>IV Start Kits</t>
  </si>
  <si>
    <t>Procedure Supplies</t>
  </si>
  <si>
    <t>kit</t>
  </si>
  <si>
    <t>VEND-005</t>
  </si>
  <si>
    <t>ITEM-1008</t>
  </si>
  <si>
    <t>Biohazard Disposal Bags</t>
  </si>
  <si>
    <t>Compliance Supplies</t>
  </si>
  <si>
    <t>VEND-006</t>
  </si>
  <si>
    <t>location_inventory_id</t>
  </si>
  <si>
    <t>location_id</t>
  </si>
  <si>
    <t>current_stock</t>
  </si>
  <si>
    <t>reorder_point</t>
  </si>
  <si>
    <t>target_stock_level</t>
  </si>
  <si>
    <t>safety_stock_level</t>
  </si>
  <si>
    <t>stock_status</t>
  </si>
  <si>
    <t>last_count_date</t>
  </si>
  <si>
    <t>LOCINV-1001</t>
  </si>
  <si>
    <t>LOC-RALEIGH-03</t>
  </si>
  <si>
    <t>Normal</t>
  </si>
  <si>
    <t>LOCINV-1002</t>
  </si>
  <si>
    <t>Low Stock</t>
  </si>
  <si>
    <t>LOCINV-1003</t>
  </si>
  <si>
    <t>LOC-DURHAM-07</t>
  </si>
  <si>
    <t>Critical Low</t>
  </si>
  <si>
    <t>LOCINV-1004</t>
  </si>
  <si>
    <t>LOCINV-1005</t>
  </si>
  <si>
    <t>LOC-WAKEFOREST-11</t>
  </si>
  <si>
    <t>LOCINV-1006</t>
  </si>
  <si>
    <t>Stockout</t>
  </si>
  <si>
    <t>LOCINV-1007</t>
  </si>
  <si>
    <t>LOC-CARY-HUB-01</t>
  </si>
  <si>
    <t>LOCINV-1008</t>
  </si>
  <si>
    <t>Overstocked</t>
  </si>
  <si>
    <t>replenishment_id</t>
  </si>
  <si>
    <t>replenishment_type</t>
  </si>
  <si>
    <t>requested_quantity</t>
  </si>
  <si>
    <t>approved_quantity</t>
  </si>
  <si>
    <t>request_date</t>
  </si>
  <si>
    <t>expected_arrival_date</t>
  </si>
  <si>
    <t>received_date</t>
  </si>
  <si>
    <t>replenishment_status</t>
  </si>
  <si>
    <t>vendor_id</t>
  </si>
  <si>
    <t>related_ticket_id</t>
  </si>
  <si>
    <t>REPL-1001</t>
  </si>
  <si>
    <t>Vendor Reorder</t>
  </si>
  <si>
    <t>Received</t>
  </si>
  <si>
    <t/>
  </si>
  <si>
    <t>REPL-1002</t>
  </si>
  <si>
    <t>Delayed</t>
  </si>
  <si>
    <t>INC-100012</t>
  </si>
  <si>
    <t>REPL-1003</t>
  </si>
  <si>
    <t>Internal Transfer</t>
  </si>
  <si>
    <t>INC-100001</t>
  </si>
  <si>
    <t>REPL-1004</t>
  </si>
  <si>
    <t>In Transit</t>
  </si>
  <si>
    <t>INC-100007</t>
  </si>
  <si>
    <t>REPL-1005</t>
  </si>
  <si>
    <t>Approved</t>
  </si>
  <si>
    <t>shortage_id</t>
  </si>
  <si>
    <t>shortage_detected_date</t>
  </si>
  <si>
    <t>shortage_severity</t>
  </si>
  <si>
    <t>estimated_days_of_stockout</t>
  </si>
  <si>
    <t>operational_impact</t>
  </si>
  <si>
    <t>escalation_flag</t>
  </si>
  <si>
    <t>resolution_status</t>
  </si>
  <si>
    <t>SHORT-1001</t>
  </si>
  <si>
    <t>Low syringe inventory creating risk for clinic procedure delays</t>
  </si>
  <si>
    <t>Open</t>
  </si>
  <si>
    <t>SHORT-1002</t>
  </si>
  <si>
    <t>Thermometer probe cover stockout impacting patient intake workflows</t>
  </si>
  <si>
    <t>Mitigating</t>
  </si>
  <si>
    <t>SHORT-1003</t>
  </si>
  <si>
    <t>Reduced PPE inventory levels requiring temporary redistribution</t>
  </si>
  <si>
    <t>Monitoring</t>
  </si>
  <si>
    <t>SHORT-1004</t>
  </si>
  <si>
    <t>IV start kit shortage impacting emergency procedural readiness</t>
  </si>
  <si>
    <t>INC-100021</t>
  </si>
  <si>
    <t>Escalated</t>
  </si>
  <si>
    <t>SHORT-1005</t>
  </si>
  <si>
    <t>Low</t>
  </si>
  <si>
    <t>Gauze inventory temporarily below recommended safety threshold</t>
  </si>
  <si>
    <t>Resolved</t>
  </si>
  <si>
    <t>discrepancy_id</t>
  </si>
  <si>
    <t>expected_quantity</t>
  </si>
  <si>
    <t>counted_quantity</t>
  </si>
  <si>
    <t>variance_quantity</t>
  </si>
  <si>
    <t>discrepancy_type</t>
  </si>
  <si>
    <t>investigation_status</t>
  </si>
  <si>
    <t>discovered_date</t>
  </si>
  <si>
    <t>resolved_date</t>
  </si>
  <si>
    <t>DISC-1001</t>
  </si>
  <si>
    <t>Count Variance</t>
  </si>
  <si>
    <t>Investigating</t>
  </si>
  <si>
    <t>DISC-1002</t>
  </si>
  <si>
    <t>Missing Inventory</t>
  </si>
  <si>
    <t>DISC-1003</t>
  </si>
  <si>
    <t>System Entry Error</t>
  </si>
  <si>
    <t>DISC-1004</t>
  </si>
  <si>
    <t>Receiving Error</t>
  </si>
  <si>
    <t>INC-100031</t>
  </si>
  <si>
    <t>DISC-1005</t>
  </si>
  <si>
    <t>Damaged Inventory</t>
  </si>
  <si>
    <t>INC-100018</t>
  </si>
  <si>
    <t>shipment_id</t>
  </si>
  <si>
    <t>ordered_quantity</t>
  </si>
  <si>
    <t>received_quantity</t>
  </si>
  <si>
    <t>order_date</t>
  </si>
  <si>
    <t>expected_delivery_date</t>
  </si>
  <si>
    <t>actual_delivery_date</t>
  </si>
  <si>
    <t>delivery_status</t>
  </si>
  <si>
    <t>fulfillment_accuracy_flag</t>
  </si>
  <si>
    <t>delay_flag</t>
  </si>
  <si>
    <t>SHIP-1001</t>
  </si>
  <si>
    <t>SHIP-1002</t>
  </si>
  <si>
    <t>SHIP-1003</t>
  </si>
  <si>
    <t>Pending</t>
  </si>
  <si>
    <t>SHIP-1004</t>
  </si>
  <si>
    <t>SHIP-1005</t>
  </si>
  <si>
    <t>SHIP-1006</t>
  </si>
  <si>
    <t>Partial</t>
  </si>
  <si>
    <t>Row Labels</t>
  </si>
  <si>
    <t>Grand Total</t>
  </si>
  <si>
    <t>Count of location_inventory_id</t>
  </si>
  <si>
    <t>Inventory Status Distribution</t>
  </si>
  <si>
    <t>Count of shortage_id</t>
  </si>
  <si>
    <t>Shortage Severity Distribution</t>
  </si>
  <si>
    <t>Count of shipment_id</t>
  </si>
  <si>
    <t>Vendor Shipment Performance</t>
  </si>
  <si>
    <t>Count of discrepancy_id</t>
  </si>
  <si>
    <t>Inventory Discrepancy Distribution</t>
  </si>
  <si>
    <t>FALSE</t>
  </si>
  <si>
    <t>TRUE</t>
  </si>
  <si>
    <t>Escalated Operational Events</t>
  </si>
  <si>
    <t>Northstar Enterprise</t>
  </si>
  <si>
    <t>Operational Inventory Executive Summary</t>
  </si>
  <si>
    <t xml:space="preserve">KPI Highlights </t>
  </si>
  <si>
    <t>• Active shortage events identified across multiple operational locations</t>
  </si>
  <si>
    <t>• Critical inventory shortages currently impacting operational readiness</t>
  </si>
  <si>
    <t>• Vendor shipment delays contributing to replenishment instability</t>
  </si>
  <si>
    <t>• Multiple inventory discrepancies remain under investigation</t>
  </si>
  <si>
    <t>• Escalation activity remains elevated due to shortage and replenishment pressure</t>
  </si>
  <si>
    <t>• Inventory operations currently show stable baseline inventory conditions alongside several elevated operational risk areas requiring continued monitoring.</t>
  </si>
  <si>
    <t>• Critical shortages affecting procedural and intake-related supplies continue to create elevated operational escalation activity.</t>
  </si>
  <si>
    <t>• Vendor shipment delays and partial fulfillment events are contributing to replenishment instability across selected locations.</t>
  </si>
  <si>
    <t>• Continue monitoring high-severity shortage events</t>
  </si>
  <si>
    <t>• Prioritize delayed replenishment workflows linked to critical inventory items</t>
  </si>
  <si>
    <t>• Maintain elevated vendor performance monitoring for delayed shipments</t>
  </si>
  <si>
    <t>• Continue discrepancy reconciliation and operational inventory validation activities</t>
  </si>
  <si>
    <t>•Inventory reconciliation activity continues to identify operational count variances, receiving discrepancies, and workflow integrity concerns.</t>
  </si>
  <si>
    <t>Reporting Period: May 21, 2026</t>
  </si>
  <si>
    <t>KPI Operational Observations</t>
  </si>
  <si>
    <t>• Several operational metrics are influenced by delayed shipment synchronization and incomplete relational references.</t>
  </si>
  <si>
    <t>• Certain shipment statuses may lag behind expected operational timelines, reducing confidence in real-time replenishment visibility.</t>
  </si>
  <si>
    <t>• Inventory discrepancy trends may include temporary synchronization mismatches rather than confirmed inventory loss events.</t>
  </si>
  <si>
    <t>• Some escalation indicators appear partially dependent on upstream reporting consistency across connected operational systems.</t>
  </si>
  <si>
    <t>• Current KPI reporting remains operationally valuable, but several metrics should be interpreted alongside reconciliation workflows and exception monitoring processes.</t>
  </si>
  <si>
    <t>• Improve shipment reconciliation visibility and operational reporting synchronization consistency.</t>
  </si>
  <si>
    <t>KPI Confidence Notes</t>
  </si>
  <si>
    <t>Recommended Operational Focus Areas</t>
  </si>
  <si>
    <t>• Multiple inventory locations currently remain below preferred operational thresholds.</t>
  </si>
  <si>
    <t>• Critical low and stockout conditions may increase replenishment pressure and operational escalation risk if unresolved.</t>
  </si>
  <si>
    <t>• Pending and delayed shipments continue to reduce replenishment confidence across several inventory workflows.</t>
  </si>
  <si>
    <t>• Shipment synchronization delays may impact inventory forecasting reliability and escalation timing visibility.</t>
  </si>
  <si>
    <t>• Inventory discrepancies remain distributed across both operational and reporting-related categories.</t>
  </si>
  <si>
    <t>• System entry and receiving inconsistencies may require additional reconciliation monitoring before escalation thresholds can be interpreted confidently.</t>
  </si>
  <si>
    <t>• Escalated operational events remain concentrated within high-severity shortage conditions and unresolved inventory disruptions.</t>
  </si>
  <si>
    <t>• Escalation visibility may continue to evolve as upstream operational reporting synchronization improves across connected systems.</t>
  </si>
  <si>
    <t>Operational Area</t>
  </si>
  <si>
    <t>Confidence Level</t>
  </si>
  <si>
    <t>Primary Reliability Concern</t>
  </si>
  <si>
    <t>Inventory Status Visibility</t>
  </si>
  <si>
    <t>Replenishment synchronization lag</t>
  </si>
  <si>
    <t>Shortage Severity Tracking</t>
  </si>
  <si>
    <t>Direct operational event visibility</t>
  </si>
  <si>
    <t>Vendor Shipment Reporting</t>
  </si>
  <si>
    <t>Delayed shipment synchronization</t>
  </si>
  <si>
    <t>Inventory Discrepancy Reporting</t>
  </si>
  <si>
    <t>Timing and reconciliation mismatches</t>
  </si>
  <si>
    <t>Upstream reporting consistency</t>
  </si>
  <si>
    <t>Operational Reporting Confidence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</si>
</sst>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i/>
      <u/>
      <sz val="20"/>
      <color theme="9" tint="-0.249977111117893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u/>
      <sz val="14"/>
      <color theme="9" tint="-0.249977111117893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2" fillId="0" borderId="0" xfId="1" applyFont="1"/>
    <xf numFmtId="0" fontId="0" fillId="2" borderId="0" xfId="0" applyFill="1" applyAlignment="1">
      <alignment horizontal="left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1" applyFont="1"/>
    <xf numFmtId="0" fontId="6" fillId="0" borderId="0" xfId="0" applyFont="1"/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7" fillId="2" borderId="0" xfId="0" applyFont="1" applyFill="1" applyAlignment="1">
      <alignment vertical="center" wrapText="1"/>
    </xf>
  </cellXfs>
  <cellStyles count="2">
    <cellStyle name="Heading 4" xfId="1" builtinId="19"/>
    <cellStyle name="Normal" xfId="0" builtinId="0"/>
  </cellStyles>
  <dxfs count="7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118877315" createdVersion="8" refreshedVersion="8" minRefreshableVersion="3" recordCount="8" xr:uid="{702B7042-AB2D-44CA-A486-B85828BC34C9}">
  <cacheSource type="worksheet">
    <worksheetSource name="location_inventory"/>
  </cacheSource>
  <cacheFields count="9">
    <cacheField name="location_inventory_id" numFmtId="0">
      <sharedItems/>
    </cacheField>
    <cacheField name="item_id" numFmtId="0">
      <sharedItems/>
    </cacheField>
    <cacheField name="location_id" numFmtId="0">
      <sharedItems/>
    </cacheField>
    <cacheField name="current_stock" numFmtId="0">
      <sharedItems containsSemiMixedTypes="0" containsString="0" containsNumber="1" containsInteger="1" minValue="0" maxValue="160"/>
    </cacheField>
    <cacheField name="reorder_point" numFmtId="0">
      <sharedItems containsSemiMixedTypes="0" containsString="0" containsNumber="1" containsInteger="1" minValue="15" maxValue="50"/>
    </cacheField>
    <cacheField name="target_stock_level" numFmtId="0">
      <sharedItems containsSemiMixedTypes="0" containsString="0" containsNumber="1" containsInteger="1" minValue="45" maxValue="150"/>
    </cacheField>
    <cacheField name="safety_stock_level" numFmtId="0">
      <sharedItems containsSemiMixedTypes="0" containsString="0" containsNumber="1" containsInteger="1" minValue="8" maxValue="30"/>
    </cacheField>
    <cacheField name="stock_status" numFmtId="0">
      <sharedItems count="5">
        <s v="Normal"/>
        <s v="Low Stock"/>
        <s v="Critical Low"/>
        <s v="Stockout"/>
        <s v="Overstocked"/>
      </sharedItems>
    </cacheField>
    <cacheField name="last_count_date" numFmtId="14">
      <sharedItems containsSemiMixedTypes="0" containsNonDate="0" containsDate="1" containsString="0" minDate="2026-05-21T00:00:00" maxDate="2026-05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3314814812" createdVersion="8" refreshedVersion="8" minRefreshableVersion="3" recordCount="5" xr:uid="{FF420C64-BCF4-40BA-863C-0D679D034DBF}">
  <cacheSource type="worksheet">
    <worksheetSource name="shortage_events"/>
  </cacheSource>
  <cacheFields count="10">
    <cacheField name="shortage_id" numFmtId="0">
      <sharedItems/>
    </cacheField>
    <cacheField name="item_id" numFmtId="0">
      <sharedItems/>
    </cacheField>
    <cacheField name="location_id" numFmtId="0">
      <sharedItems/>
    </cacheField>
    <cacheField name="shortage_detected_date" numFmtId="14">
      <sharedItems containsSemiMixedTypes="0" containsNonDate="0" containsDate="1" containsString="0" minDate="2026-05-21T00:00:00" maxDate="2026-05-22T00:00:00"/>
    </cacheField>
    <cacheField name="shortage_severity" numFmtId="0">
      <sharedItems count="4">
        <s v="Critical"/>
        <s v="High"/>
        <s v="Moderate"/>
        <s v="Low"/>
      </sharedItems>
    </cacheField>
    <cacheField name="estimated_days_of_stockout" numFmtId="0">
      <sharedItems containsSemiMixedTypes="0" containsString="0" containsNumber="1" containsInteger="1" minValue="1" maxValue="4"/>
    </cacheField>
    <cacheField name="operational_impact" numFmtId="0">
      <sharedItems/>
    </cacheField>
    <cacheField name="escalation_flag" numFmtId="0">
      <sharedItems count="2">
        <b v="1"/>
        <b v="0"/>
      </sharedItems>
    </cacheField>
    <cacheField name="related_ticket_id" numFmtId="0">
      <sharedItems/>
    </cacheField>
    <cacheField name="resolution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5044675925" createdVersion="8" refreshedVersion="8" minRefreshableVersion="3" recordCount="6" xr:uid="{67BD1DA1-CE96-4F8B-A73F-01984296C078}">
  <cacheSource type="worksheet">
    <worksheetSource name="vendor_shipments"/>
  </cacheSource>
  <cacheFields count="13">
    <cacheField name="shipment_id" numFmtId="0">
      <sharedItems/>
    </cacheField>
    <cacheField name="vendor_id" numFmtId="0">
      <sharedItems/>
    </cacheField>
    <cacheField name="item_id" numFmtId="0">
      <sharedItems/>
    </cacheField>
    <cacheField name="location_id" numFmtId="0">
      <sharedItems/>
    </cacheField>
    <cacheField name="ordered_quantity" numFmtId="0">
      <sharedItems containsSemiMixedTypes="0" containsString="0" containsNumber="1" containsInteger="1" minValue="40" maxValue="80"/>
    </cacheField>
    <cacheField name="received_quantity" numFmtId="0">
      <sharedItems containsString="0" containsBlank="1" containsNumber="1" containsInteger="1" minValue="35" maxValue="80"/>
    </cacheField>
    <cacheField name="order_date" numFmtId="14">
      <sharedItems containsSemiMixedTypes="0" containsNonDate="0" containsDate="1" containsString="0" minDate="2026-05-20T00:00:00" maxDate="2026-05-22T00:00:00"/>
    </cacheField>
    <cacheField name="expected_delivery_date" numFmtId="14">
      <sharedItems containsSemiMixedTypes="0" containsNonDate="0" containsDate="1" containsString="0" minDate="2026-05-22T00:00:00" maxDate="2026-05-25T00:00:00"/>
    </cacheField>
    <cacheField name="actual_delivery_date" numFmtId="14">
      <sharedItems containsNonDate="0" containsDate="1" containsString="0" containsBlank="1" minDate="2026-05-22T00:00:00" maxDate="2026-05-25T00:00:00"/>
    </cacheField>
    <cacheField name="delivery_status" numFmtId="0">
      <sharedItems count="4">
        <s v="Received"/>
        <s v="Delayed"/>
        <s v="Pending"/>
        <s v="Partial"/>
      </sharedItems>
    </cacheField>
    <cacheField name="fulfillment_accuracy_flag" numFmtId="0">
      <sharedItems containsBlank="1"/>
    </cacheField>
    <cacheField name="delay_flag" numFmtId="0">
      <sharedItems/>
    </cacheField>
    <cacheField name="related_ticket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6662152778" createdVersion="8" refreshedVersion="8" minRefreshableVersion="3" recordCount="5" xr:uid="{7621834E-8409-4C0F-B3D9-4F8CA446F7CC}">
  <cacheSource type="worksheet">
    <worksheetSource name="inventory_discrepancies"/>
  </cacheSource>
  <cacheFields count="11">
    <cacheField name="discrepancy_id" numFmtId="0">
      <sharedItems/>
    </cacheField>
    <cacheField name="item_id" numFmtId="0">
      <sharedItems/>
    </cacheField>
    <cacheField name="location_id" numFmtId="0">
      <sharedItems/>
    </cacheField>
    <cacheField name="expected_quantity" numFmtId="0">
      <sharedItems containsSemiMixedTypes="0" containsString="0" containsNumber="1" containsInteger="1" minValue="12" maxValue="140"/>
    </cacheField>
    <cacheField name="counted_quantity" numFmtId="0">
      <sharedItems containsSemiMixedTypes="0" containsString="0" containsNumber="1" containsInteger="1" minValue="0" maxValue="160"/>
    </cacheField>
    <cacheField name="variance_quantity" numFmtId="0">
      <sharedItems containsSemiMixedTypes="0" containsString="0" containsNumber="1" containsInteger="1" minValue="-15" maxValue="20"/>
    </cacheField>
    <cacheField name="discrepancy_type" numFmtId="0">
      <sharedItems count="5">
        <s v="Count Variance"/>
        <s v="Missing Inventory"/>
        <s v="System Entry Error"/>
        <s v="Receiving Error"/>
        <s v="Damaged Inventory"/>
      </sharedItems>
    </cacheField>
    <cacheField name="investigation_status" numFmtId="0">
      <sharedItems/>
    </cacheField>
    <cacheField name="discovered_date" numFmtId="14">
      <sharedItems containsSemiMixedTypes="0" containsNonDate="0" containsDate="1" containsString="0" minDate="2026-05-20T00:00:00" maxDate="2026-05-22T00:00:00"/>
    </cacheField>
    <cacheField name="resolved_date" numFmtId="14">
      <sharedItems containsNonDate="0" containsDate="1" containsString="0" containsBlank="1" minDate="2026-05-21T00:00:00" maxDate="2026-05-22T00:00:00"/>
    </cacheField>
    <cacheField name="related_ticket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LOCINV-1001"/>
    <s v="ITEM-1001"/>
    <s v="LOC-RALEIGH-03"/>
    <n v="42"/>
    <n v="30"/>
    <n v="90"/>
    <n v="20"/>
    <x v="0"/>
    <d v="2026-05-21T00:00:00"/>
  </r>
  <r>
    <s v="LOCINV-1002"/>
    <s v="ITEM-1002"/>
    <s v="LOC-RALEIGH-03"/>
    <n v="18"/>
    <n v="25"/>
    <n v="75"/>
    <n v="15"/>
    <x v="1"/>
    <d v="2026-05-21T00:00:00"/>
  </r>
  <r>
    <s v="LOCINV-1003"/>
    <s v="ITEM-1003"/>
    <s v="LOC-DURHAM-07"/>
    <n v="8"/>
    <n v="20"/>
    <n v="60"/>
    <n v="10"/>
    <x v="2"/>
    <d v="2026-05-21T00:00:00"/>
  </r>
  <r>
    <s v="LOCINV-1004"/>
    <s v="ITEM-1004"/>
    <s v="LOC-DURHAM-07"/>
    <n v="115"/>
    <n v="40"/>
    <n v="120"/>
    <n v="25"/>
    <x v="0"/>
    <d v="2026-05-21T00:00:00"/>
  </r>
  <r>
    <s v="LOCINV-1005"/>
    <s v="ITEM-1005"/>
    <s v="LOC-WAKEFOREST-11"/>
    <n v="22"/>
    <n v="35"/>
    <n v="100"/>
    <n v="20"/>
    <x v="1"/>
    <d v="2026-05-21T00:00:00"/>
  </r>
  <r>
    <s v="LOCINV-1006"/>
    <s v="ITEM-1006"/>
    <s v="LOC-WAKEFOREST-11"/>
    <n v="0"/>
    <n v="15"/>
    <n v="45"/>
    <n v="8"/>
    <x v="3"/>
    <d v="2026-05-21T00:00:00"/>
  </r>
  <r>
    <s v="LOCINV-1007"/>
    <s v="ITEM-1007"/>
    <s v="LOC-CARY-HUB-01"/>
    <n v="14"/>
    <n v="20"/>
    <n v="50"/>
    <n v="10"/>
    <x v="2"/>
    <d v="2026-05-21T00:00:00"/>
  </r>
  <r>
    <s v="LOCINV-1008"/>
    <s v="ITEM-1008"/>
    <s v="LOC-CARY-HUB-01"/>
    <n v="160"/>
    <n v="50"/>
    <n v="150"/>
    <n v="30"/>
    <x v="4"/>
    <d v="2026-05-2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SHORT-1001"/>
    <s v="ITEM-1003"/>
    <s v="LOC-DURHAM-07"/>
    <d v="2026-05-21T00:00:00"/>
    <x v="0"/>
    <n v="3"/>
    <s v="Low syringe inventory creating risk for clinic procedure delays"/>
    <x v="0"/>
    <s v="INC-100012"/>
    <s v="Open"/>
  </r>
  <r>
    <s v="SHORT-1002"/>
    <s v="ITEM-1006"/>
    <s v="LOC-WAKEFOREST-11"/>
    <d v="2026-05-21T00:00:00"/>
    <x v="1"/>
    <n v="2"/>
    <s v="Thermometer probe cover stockout impacting patient intake workflows"/>
    <x v="0"/>
    <s v="INC-100007"/>
    <s v="Mitigating"/>
  </r>
  <r>
    <s v="SHORT-1003"/>
    <s v="ITEM-1005"/>
    <s v="LOC-WAKEFOREST-11"/>
    <d v="2026-05-21T00:00:00"/>
    <x v="2"/>
    <n v="1"/>
    <s v="Reduced PPE inventory levels requiring temporary redistribution"/>
    <x v="1"/>
    <s v=""/>
    <s v="Monitoring"/>
  </r>
  <r>
    <s v="SHORT-1004"/>
    <s v="ITEM-1007"/>
    <s v="LOC-CARY-HUB-01"/>
    <d v="2026-05-21T00:00:00"/>
    <x v="0"/>
    <n v="4"/>
    <s v="IV start kit shortage impacting emergency procedural readiness"/>
    <x v="0"/>
    <s v="INC-100021"/>
    <s v="Escalated"/>
  </r>
  <r>
    <s v="SHORT-1005"/>
    <s v="ITEM-1002"/>
    <s v="LOC-RALEIGH-03"/>
    <d v="2026-05-21T00:00:00"/>
    <x v="3"/>
    <n v="1"/>
    <s v="Gauze inventory temporarily below recommended safety threshold"/>
    <x v="1"/>
    <s v=""/>
    <s v="Resolve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SHIP-1001"/>
    <s v="VEND-002"/>
    <s v="ITEM-1002"/>
    <s v="LOC-RALEIGH-03"/>
    <n v="60"/>
    <n v="60"/>
    <d v="2026-05-21T00:00:00"/>
    <d v="2026-05-23T00:00:00"/>
    <d v="2026-05-23T00:00:00"/>
    <x v="0"/>
    <b v="1"/>
    <b v="0"/>
    <s v=""/>
  </r>
  <r>
    <s v="SHIP-1002"/>
    <s v="VEND-003"/>
    <s v="ITEM-1003"/>
    <s v="LOC-DURHAM-07"/>
    <n v="50"/>
    <n v="40"/>
    <d v="2026-05-21T00:00:00"/>
    <d v="2026-05-24T00:00:00"/>
    <m/>
    <x v="1"/>
    <b v="0"/>
    <b v="1"/>
    <s v="INC-100012"/>
  </r>
  <r>
    <s v="SHIP-1003"/>
    <s v="VEND-002"/>
    <s v="ITEM-1006"/>
    <s v="LOC-WAKEFOREST-11"/>
    <n v="45"/>
    <m/>
    <d v="2026-05-21T00:00:00"/>
    <d v="2026-05-23T00:00:00"/>
    <m/>
    <x v="2"/>
    <m/>
    <b v="0"/>
    <s v="INC-100007"/>
  </r>
  <r>
    <s v="SHIP-1004"/>
    <s v="VEND-005"/>
    <s v="ITEM-1007"/>
    <s v="LOC-CARY-HUB-01"/>
    <n v="40"/>
    <m/>
    <d v="2026-05-21T00:00:00"/>
    <d v="2026-05-24T00:00:00"/>
    <m/>
    <x v="2"/>
    <m/>
    <b v="0"/>
    <s v=""/>
  </r>
  <r>
    <s v="SHIP-1005"/>
    <s v="VEND-001"/>
    <s v="ITEM-1001"/>
    <s v="LOC-RALEIGH-03"/>
    <n v="80"/>
    <n v="80"/>
    <d v="2026-05-20T00:00:00"/>
    <d v="2026-05-22T00:00:00"/>
    <d v="2026-05-22T00:00:00"/>
    <x v="0"/>
    <b v="1"/>
    <b v="0"/>
    <s v=""/>
  </r>
  <r>
    <s v="SHIP-1006"/>
    <s v="VEND-004"/>
    <s v="ITEM-1005"/>
    <s v="LOC-WAKEFOREST-11"/>
    <n v="50"/>
    <n v="35"/>
    <d v="2026-05-21T00:00:00"/>
    <d v="2026-05-23T00:00:00"/>
    <d v="2026-05-24T00:00:00"/>
    <x v="3"/>
    <b v="0"/>
    <b v="1"/>
    <s v="INC-1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DISC-1001"/>
    <s v="ITEM-1003"/>
    <s v="LOC-DURHAM-07"/>
    <n v="12"/>
    <n v="8"/>
    <n v="-4"/>
    <x v="0"/>
    <s v="Investigating"/>
    <d v="2026-05-21T00:00:00"/>
    <m/>
    <s v="INC-100012"/>
  </r>
  <r>
    <s v="DISC-1002"/>
    <s v="ITEM-1006"/>
    <s v="LOC-WAKEFOREST-11"/>
    <n v="15"/>
    <n v="0"/>
    <n v="-15"/>
    <x v="1"/>
    <s v="Escalated"/>
    <d v="2026-05-21T00:00:00"/>
    <m/>
    <s v="INC-100007"/>
  </r>
  <r>
    <s v="DISC-1003"/>
    <s v="ITEM-1008"/>
    <s v="LOC-CARY-HUB-01"/>
    <n v="140"/>
    <n v="160"/>
    <n v="20"/>
    <x v="2"/>
    <s v="Resolved"/>
    <d v="2026-05-20T00:00:00"/>
    <d v="2026-05-21T00:00:00"/>
    <s v=""/>
  </r>
  <r>
    <s v="DISC-1004"/>
    <s v="ITEM-1002"/>
    <s v="LOC-RALEIGH-03"/>
    <n v="25"/>
    <n v="18"/>
    <n v="-7"/>
    <x v="3"/>
    <s v="Open"/>
    <d v="2026-05-21T00:00:00"/>
    <m/>
    <s v="INC-100031"/>
  </r>
  <r>
    <s v="DISC-1005"/>
    <s v="ITEM-1005"/>
    <s v="LOC-WAKEFOREST-11"/>
    <n v="30"/>
    <n v="22"/>
    <n v="-8"/>
    <x v="4"/>
    <s v="Mitigating"/>
    <d v="2026-05-21T00:00:00"/>
    <m/>
    <s v="INC-1000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3658F-ED2F-4AB8-B195-6FA2B2A68EB9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9:E22" firstHeaderRow="1" firstDataRow="1" firstDataCol="1"/>
  <pivotFields count="10">
    <pivotField dataField="1"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shortage_id" fld="0" subtotal="count" baseField="0" baseItem="0"/>
  </dataFields>
  <formats count="4">
    <format dxfId="54">
      <pivotArea field="7" type="button" dataOnly="0" labelOnly="1" outline="0" axis="axisRow" fieldPosition="0"/>
    </format>
    <format dxfId="53">
      <pivotArea dataOnly="0" labelOnly="1" outline="0" axis="axisValues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59FAF-D934-4368-8B43-85EAF3C0DF3F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3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numFmtId="14"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iscrepancy_id" fld="0" subtotal="count" baseField="0" baseItem="0"/>
  </dataFields>
  <formats count="4">
    <format dxfId="58">
      <pivotArea field="6" type="button" dataOnly="0" labelOnly="1" outline="0" axis="axisRow" fieldPosition="0"/>
    </format>
    <format dxfId="57">
      <pivotArea dataOnly="0" labelOnly="1" outline="0" axis="axisValues" fieldPosition="0"/>
    </format>
    <format dxfId="56">
      <pivotArea grandRow="1" outline="0" collapsedLevelsAreSubtotals="1" fieldPosition="0"/>
    </format>
    <format dxfId="5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BDA6B-B1BC-4CF3-ABCE-F27D55A62C06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:E10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ipment_id" fld="0" subtotal="count" baseField="0" baseItem="0"/>
  </dataFields>
  <formats count="4">
    <format dxfId="62">
      <pivotArea field="9" type="button" dataOnly="0" labelOnly="1" outline="0" axis="axisRow" fieldPosition="0"/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8F6C1-9AF9-4CFE-8F5F-2546D765329F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:H10" firstHeaderRow="1" firstDataRow="1" firstDataCol="1"/>
  <pivotFields count="10">
    <pivotField dataField="1" showAll="0"/>
    <pivotField showAll="0"/>
    <pivotField showAll="0"/>
    <pivotField numFmtId="14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ortage_id" fld="0" subtotal="count" baseField="0" baseItem="0"/>
  </dataFields>
  <formats count="3">
    <format dxfId="65">
      <pivotArea dataOnly="0" grandRow="1" fieldPosition="0"/>
    </format>
    <format dxfId="64">
      <pivotArea field="4" type="button" dataOnly="0" labelOnly="1" outline="0" axis="axisRow" fieldPosition="0"/>
    </format>
    <format dxfId="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03AD4-C8AF-48D8-B647-927A9AA02BE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numFmtId="14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location_inventory_id" fld="0" subtotal="count" baseField="0" baseItem="0"/>
  </dataFields>
  <formats count="4">
    <format dxfId="69">
      <pivotArea dataOnly="0" labelOnly="1" grandRow="1" outline="0" fieldPosition="0"/>
    </format>
    <format dxfId="68">
      <pivotArea grandRow="1" outline="0" collapsedLevelsAreSubtotals="1" fieldPosition="0"/>
    </format>
    <format dxfId="67">
      <pivotArea field="7" type="button" dataOnly="0" labelOnly="1" outline="0" axis="axisRow" fieldPosition="0"/>
    </format>
    <format dxfId="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2E11FC56-EAE7-4B59-9BA1-FD391AE6FD0B}" autoFormatId="16" applyNumberFormats="0" applyBorderFormats="0" applyFontFormats="0" applyPatternFormats="0" applyAlignmentFormats="0" applyWidthHeightFormats="0">
  <queryTableRefresh nextId="14">
    <queryTableFields count="13">
      <queryTableField id="1" name="shipment_id" tableColumnId="1"/>
      <queryTableField id="2" name="vendor_id" tableColumnId="2"/>
      <queryTableField id="3" name="item_id" tableColumnId="3"/>
      <queryTableField id="4" name="location_id" tableColumnId="4"/>
      <queryTableField id="5" name="ordered_quantity" tableColumnId="5"/>
      <queryTableField id="6" name="received_quantity" tableColumnId="6"/>
      <queryTableField id="7" name="order_date" tableColumnId="7"/>
      <queryTableField id="8" name="expected_delivery_date" tableColumnId="8"/>
      <queryTableField id="9" name="actual_delivery_date" tableColumnId="9"/>
      <queryTableField id="10" name="delivery_status" tableColumnId="10"/>
      <queryTableField id="11" name="fulfillment_accuracy_flag" tableColumnId="11"/>
      <queryTableField id="12" name="delay_flag" tableColumnId="12"/>
      <queryTableField id="13" name="related_ticket_id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D2241681-F007-4A83-954C-DDFCC6208364}" autoFormatId="16" applyNumberFormats="0" applyBorderFormats="0" applyFontFormats="0" applyPatternFormats="0" applyAlignmentFormats="0" applyWidthHeightFormats="0">
  <queryTableRefresh nextId="12">
    <queryTableFields count="11">
      <queryTableField id="1" name="discrepancy_id" tableColumnId="1"/>
      <queryTableField id="2" name="item_id" tableColumnId="2"/>
      <queryTableField id="3" name="location_id" tableColumnId="3"/>
      <queryTableField id="4" name="expected_quantity" tableColumnId="4"/>
      <queryTableField id="5" name="counted_quantity" tableColumnId="5"/>
      <queryTableField id="6" name="variance_quantity" tableColumnId="6"/>
      <queryTableField id="7" name="discrepancy_type" tableColumnId="7"/>
      <queryTableField id="8" name="investigation_status" tableColumnId="8"/>
      <queryTableField id="9" name="discovered_date" tableColumnId="9"/>
      <queryTableField id="10" name="resolved_date" tableColumnId="10"/>
      <queryTableField id="11" name="related_ticket_id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C032693C-B177-42B2-B2EA-3D44DC75B798}" autoFormatId="16" applyNumberFormats="0" applyBorderFormats="0" applyFontFormats="0" applyPatternFormats="0" applyAlignmentFormats="0" applyWidthHeightFormats="0">
  <queryTableRefresh nextId="11">
    <queryTableFields count="10">
      <queryTableField id="1" name="shortage_id" tableColumnId="1"/>
      <queryTableField id="2" name="item_id" tableColumnId="2"/>
      <queryTableField id="3" name="location_id" tableColumnId="3"/>
      <queryTableField id="4" name="shortage_detected_date" tableColumnId="4"/>
      <queryTableField id="5" name="shortage_severity" tableColumnId="5"/>
      <queryTableField id="6" name="estimated_days_of_stockout" tableColumnId="6"/>
      <queryTableField id="7" name="operational_impact" tableColumnId="7"/>
      <queryTableField id="8" name="escalation_flag" tableColumnId="8"/>
      <queryTableField id="9" name="related_ticket_id" tableColumnId="9"/>
      <queryTableField id="10" name="resolution_statu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D078C24-02E3-431E-8361-AB9B238236C8}" autoFormatId="16" applyNumberFormats="0" applyBorderFormats="0" applyFontFormats="0" applyPatternFormats="0" applyAlignmentFormats="0" applyWidthHeightFormats="0">
  <queryTableRefresh nextId="13">
    <queryTableFields count="12">
      <queryTableField id="1" name="replenishment_id" tableColumnId="1"/>
      <queryTableField id="2" name="item_id" tableColumnId="2"/>
      <queryTableField id="3" name="location_id" tableColumnId="3"/>
      <queryTableField id="4" name="replenishment_type" tableColumnId="4"/>
      <queryTableField id="5" name="requested_quantity" tableColumnId="5"/>
      <queryTableField id="6" name="approved_quantity" tableColumnId="6"/>
      <queryTableField id="7" name="request_date" tableColumnId="7"/>
      <queryTableField id="8" name="expected_arrival_date" tableColumnId="8"/>
      <queryTableField id="9" name="received_date" tableColumnId="9"/>
      <queryTableField id="10" name="replenishment_status" tableColumnId="10"/>
      <queryTableField id="11" name="vendor_id" tableColumnId="11"/>
      <queryTableField id="12" name="related_ticket_id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CA4B906-5F85-4795-ABF3-CF0192BAFA18}" autoFormatId="16" applyNumberFormats="0" applyBorderFormats="0" applyFontFormats="0" applyPatternFormats="0" applyAlignmentFormats="0" applyWidthHeightFormats="0">
  <queryTableRefresh nextId="10">
    <queryTableFields count="9">
      <queryTableField id="1" name="location_inventory_id" tableColumnId="1"/>
      <queryTableField id="2" name="item_id" tableColumnId="2"/>
      <queryTableField id="3" name="location_id" tableColumnId="3"/>
      <queryTableField id="4" name="current_stock" tableColumnId="4"/>
      <queryTableField id="5" name="reorder_point" tableColumnId="5"/>
      <queryTableField id="6" name="target_stock_level" tableColumnId="6"/>
      <queryTableField id="7" name="safety_stock_level" tableColumnId="7"/>
      <queryTableField id="8" name="stock_status" tableColumnId="8"/>
      <queryTableField id="9" name="last_count_dat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8706759-9BE3-4F33-BB16-872B211F610A}" autoFormatId="16" applyNumberFormats="0" applyBorderFormats="0" applyFontFormats="0" applyPatternFormats="0" applyAlignmentFormats="0" applyWidthHeightFormats="0">
  <queryTableRefresh nextId="8">
    <queryTableFields count="7">
      <queryTableField id="1" name="item_id" tableColumnId="1"/>
      <queryTableField id="2" name="item_name" tableColumnId="2"/>
      <queryTableField id="3" name="item_category" tableColumnId="3"/>
      <queryTableField id="4" name="criticality_level" tableColumnId="4"/>
      <queryTableField id="5" name="unit_of_measure" tableColumnId="5"/>
      <queryTableField id="6" name="preferred_vendor_id" tableColumnId="6"/>
      <queryTableField id="7" name="active_flag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560EEF-6209-4598-9168-F70F209E1292}" name="Table9" displayName="Table9" ref="A29:C34" totalsRowShown="0" headerRowDxfId="50" dataDxfId="49">
  <autoFilter ref="A29:C34" xr:uid="{97560EEF-6209-4598-9168-F70F209E1292}"/>
  <tableColumns count="3">
    <tableColumn id="1" xr3:uid="{F4B525A5-7957-4DF9-8CC8-B53BA876E1A6}" name="Operational Area" dataDxfId="48"/>
    <tableColumn id="2" xr3:uid="{32A3FF38-C204-4913-B6FA-7AFD7D2ABD3D}" name="Confidence Level" dataDxfId="47"/>
    <tableColumn id="3" xr3:uid="{C0EC8BA7-E8FE-470C-9F00-5AC5DA736B15}" name="Primary Reliability Concern" dataDxfId="4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60D76F-D45A-440D-A633-2623C9A7C635}" name="vendor_shipments" displayName="vendor_shipments" ref="A1:M7" tableType="queryTable" totalsRowShown="0">
  <autoFilter ref="A1:M7" xr:uid="{9D60D76F-D45A-440D-A633-2623C9A7C635}"/>
  <tableColumns count="13">
    <tableColumn id="1" xr3:uid="{AED7C5DE-31D6-459F-9D03-97AF4BF899A6}" uniqueName="1" name="shipment_id" queryTableFieldId="1" dataDxfId="45"/>
    <tableColumn id="2" xr3:uid="{81403976-60CF-4BA3-9935-CC342BD190CA}" uniqueName="2" name="vendor_id" queryTableFieldId="2" dataDxfId="44"/>
    <tableColumn id="3" xr3:uid="{DFAA2E86-6544-49D0-98D2-4C9DE49B9F39}" uniqueName="3" name="item_id" queryTableFieldId="3" dataDxfId="43"/>
    <tableColumn id="4" xr3:uid="{C2FA7F9A-0A73-4972-BB4A-1CFD1481C4F1}" uniqueName="4" name="location_id" queryTableFieldId="4" dataDxfId="42"/>
    <tableColumn id="5" xr3:uid="{A8902B79-4701-4A0C-8CB1-5C11561F794A}" uniqueName="5" name="ordered_quantity" queryTableFieldId="5"/>
    <tableColumn id="6" xr3:uid="{356EBFEF-20C2-4271-B6E3-F749CC0EB0A3}" uniqueName="6" name="received_quantity" queryTableFieldId="6"/>
    <tableColumn id="7" xr3:uid="{A5603AE8-AE05-4F29-9A08-69E8C42BF7F4}" uniqueName="7" name="order_date" queryTableFieldId="7" dataDxfId="41"/>
    <tableColumn id="8" xr3:uid="{BC25F150-A5BB-485A-9B3C-8D94217D05A7}" uniqueName="8" name="expected_delivery_date" queryTableFieldId="8" dataDxfId="40"/>
    <tableColumn id="9" xr3:uid="{4A4994E2-7BC7-4106-A90F-880002379AF9}" uniqueName="9" name="actual_delivery_date" queryTableFieldId="9" dataDxfId="39"/>
    <tableColumn id="10" xr3:uid="{B2E25118-BF1D-4231-BE0F-6A00AA352427}" uniqueName="10" name="delivery_status" queryTableFieldId="10" dataDxfId="38"/>
    <tableColumn id="11" xr3:uid="{6B5D1440-9DD6-461E-A422-6F33C19E0160}" uniqueName="11" name="fulfillment_accuracy_flag" queryTableFieldId="11"/>
    <tableColumn id="12" xr3:uid="{B220AFE1-1543-479A-8F03-3CA1EADE6C22}" uniqueName="12" name="delay_flag" queryTableFieldId="12"/>
    <tableColumn id="13" xr3:uid="{B8D2655D-A70A-4658-9210-05BD1EBF072B}" uniqueName="13" name="related_ticket_id" queryTableFieldId="13" dataDxfId="3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243D3A-118C-4DBA-8658-F79B390DE3CF}" name="inventory_discrepancies" displayName="inventory_discrepancies" ref="A1:K6" tableType="queryTable" totalsRowShown="0">
  <autoFilter ref="A1:K6" xr:uid="{AB243D3A-118C-4DBA-8658-F79B390DE3CF}"/>
  <tableColumns count="11">
    <tableColumn id="1" xr3:uid="{0F5C423D-4E11-44C5-9EBB-65712B7E3C5A}" uniqueName="1" name="discrepancy_id" queryTableFieldId="1" dataDxfId="36"/>
    <tableColumn id="2" xr3:uid="{0316BBB1-7B6E-49B5-8061-7F8DF8DAF2AB}" uniqueName="2" name="item_id" queryTableFieldId="2" dataDxfId="35"/>
    <tableColumn id="3" xr3:uid="{DB9AAF05-D42A-495A-9344-4C715FFB91F4}" uniqueName="3" name="location_id" queryTableFieldId="3" dataDxfId="34"/>
    <tableColumn id="4" xr3:uid="{867EF401-6540-4698-8A1C-AC734AC024FD}" uniqueName="4" name="expected_quantity" queryTableFieldId="4"/>
    <tableColumn id="5" xr3:uid="{A1F6DD30-AB34-47F7-A3C1-EA265C6975B6}" uniqueName="5" name="counted_quantity" queryTableFieldId="5"/>
    <tableColumn id="6" xr3:uid="{6A761B51-EEB7-494C-B926-D92FE7F5BA61}" uniqueName="6" name="variance_quantity" queryTableFieldId="6"/>
    <tableColumn id="7" xr3:uid="{D34D02B0-9905-4AC8-99F9-1ABD6A56E6B7}" uniqueName="7" name="discrepancy_type" queryTableFieldId="7" dataDxfId="33"/>
    <tableColumn id="8" xr3:uid="{7D783A58-91F0-4CFD-A876-1AC6B9FFCE33}" uniqueName="8" name="investigation_status" queryTableFieldId="8" dataDxfId="32"/>
    <tableColumn id="9" xr3:uid="{63979E5C-3083-4E42-ADCD-CCC4CE732848}" uniqueName="9" name="discovered_date" queryTableFieldId="9" dataDxfId="31"/>
    <tableColumn id="10" xr3:uid="{B79336EA-8206-48FD-A4E6-F7B49637BC27}" uniqueName="10" name="resolved_date" queryTableFieldId="10" dataDxfId="30"/>
    <tableColumn id="11" xr3:uid="{B0299A49-7C1A-4B90-8661-8244CF3BBCC6}" uniqueName="11" name="related_ticket_id" queryTableFieldId="11" dataDxfId="2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BA9920-D0AA-42FC-B44F-7C88D3833509}" name="shortage_events" displayName="shortage_events" ref="A1:J6" tableType="queryTable" totalsRowShown="0">
  <autoFilter ref="A1:J6" xr:uid="{F4BA9920-D0AA-42FC-B44F-7C88D3833509}"/>
  <tableColumns count="10">
    <tableColumn id="1" xr3:uid="{3F17385B-66E7-4EEB-B8FC-013FA94ECDC9}" uniqueName="1" name="shortage_id" queryTableFieldId="1" dataDxfId="28"/>
    <tableColumn id="2" xr3:uid="{D7695744-B532-45E1-9BF0-57D5F7FEDBAC}" uniqueName="2" name="item_id" queryTableFieldId="2" dataDxfId="27"/>
    <tableColumn id="3" xr3:uid="{7216D265-05B6-4382-9C7D-C613B1B014E6}" uniqueName="3" name="location_id" queryTableFieldId="3" dataDxfId="26"/>
    <tableColumn id="4" xr3:uid="{F25F0341-83DE-4325-B864-71B9698978DF}" uniqueName="4" name="shortage_detected_date" queryTableFieldId="4" dataDxfId="25"/>
    <tableColumn id="5" xr3:uid="{76E9DDEF-50DF-4A1E-BD12-ABBBBB77B578}" uniqueName="5" name="shortage_severity" queryTableFieldId="5" dataDxfId="24"/>
    <tableColumn id="6" xr3:uid="{1D1AF548-359C-4A9B-9540-9F03AF8D729F}" uniqueName="6" name="estimated_days_of_stockout" queryTableFieldId="6"/>
    <tableColumn id="7" xr3:uid="{0E4FD10C-4E75-451C-A104-630E545CCC37}" uniqueName="7" name="operational_impact" queryTableFieldId="7" dataDxfId="23"/>
    <tableColumn id="8" xr3:uid="{A0B6DB3B-8EF0-4E2E-A92D-806CA2E67413}" uniqueName="8" name="escalation_flag" queryTableFieldId="8"/>
    <tableColumn id="9" xr3:uid="{22FEDC63-D6F8-41C6-96FB-920D4CA6108D}" uniqueName="9" name="related_ticket_id" queryTableFieldId="9" dataDxfId="22"/>
    <tableColumn id="10" xr3:uid="{4B3C25B1-BC4C-4220-87FF-5D3DD5850EB9}" uniqueName="10" name="resolution_status" queryTableFieldId="10" dataDxf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224A9B-B3EF-4A97-A026-31A8290F6DEF}" name="replenishment_events" displayName="replenishment_events" ref="A1:L6" tableType="queryTable" totalsRowShown="0">
  <autoFilter ref="A1:L6" xr:uid="{64224A9B-B3EF-4A97-A026-31A8290F6DEF}"/>
  <tableColumns count="12">
    <tableColumn id="1" xr3:uid="{A987F77E-1BA8-468F-ACCF-2ECF0DCF7CC6}" uniqueName="1" name="replenishment_id" queryTableFieldId="1" dataDxfId="20"/>
    <tableColumn id="2" xr3:uid="{C97B89AE-5B5C-4990-A6F5-649749AB768E}" uniqueName="2" name="item_id" queryTableFieldId="2" dataDxfId="19"/>
    <tableColumn id="3" xr3:uid="{521B6099-900E-470D-B37B-F8B5DA586940}" uniqueName="3" name="location_id" queryTableFieldId="3" dataDxfId="18"/>
    <tableColumn id="4" xr3:uid="{93B875CB-899A-4384-B4D2-8C0D18476194}" uniqueName="4" name="replenishment_type" queryTableFieldId="4" dataDxfId="17"/>
    <tableColumn id="5" xr3:uid="{35C2F97A-DCEA-410C-9097-29DBBBFD5E9C}" uniqueName="5" name="requested_quantity" queryTableFieldId="5"/>
    <tableColumn id="6" xr3:uid="{0B8215A2-F34C-471A-9132-47F687AB6A17}" uniqueName="6" name="approved_quantity" queryTableFieldId="6"/>
    <tableColumn id="7" xr3:uid="{7201D06A-A3F6-447C-999B-47386100AC52}" uniqueName="7" name="request_date" queryTableFieldId="7" dataDxfId="16"/>
    <tableColumn id="8" xr3:uid="{44657DFF-C6E6-4372-8884-1148764B4EA3}" uniqueName="8" name="expected_arrival_date" queryTableFieldId="8" dataDxfId="15"/>
    <tableColumn id="9" xr3:uid="{63327DF2-BD80-47C2-9286-5F24D29F1158}" uniqueName="9" name="received_date" queryTableFieldId="9" dataDxfId="14"/>
    <tableColumn id="10" xr3:uid="{48AF99C6-E632-4AC9-AF77-395D4A5FD946}" uniqueName="10" name="replenishment_status" queryTableFieldId="10" dataDxfId="13"/>
    <tableColumn id="11" xr3:uid="{B3D0CBC0-2337-4D43-9EFE-670290BD9071}" uniqueName="11" name="vendor_id" queryTableFieldId="11" dataDxfId="12"/>
    <tableColumn id="12" xr3:uid="{E6A2FBBA-0ACB-4BB1-A47F-0739FA5B1F57}" uniqueName="12" name="related_ticket_id" queryTableFieldId="12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B09EEB-41AA-4D6A-ABA8-C230D8CB8C02}" name="location_inventory" displayName="location_inventory" ref="A1:I9" tableType="queryTable" totalsRowShown="0">
  <autoFilter ref="A1:I9" xr:uid="{3DB09EEB-41AA-4D6A-ABA8-C230D8CB8C02}"/>
  <tableColumns count="9">
    <tableColumn id="1" xr3:uid="{CE3C3BCE-7918-4E78-961F-96F7F01BB3D4}" uniqueName="1" name="location_inventory_id" queryTableFieldId="1" dataDxfId="10"/>
    <tableColumn id="2" xr3:uid="{3E42A8DB-7B53-4F3B-94F8-F3788C8E6AB1}" uniqueName="2" name="item_id" queryTableFieldId="2" dataDxfId="9"/>
    <tableColumn id="3" xr3:uid="{1B249FEF-C5AA-4C41-B20B-9768C0F89DFC}" uniqueName="3" name="location_id" queryTableFieldId="3" dataDxfId="8"/>
    <tableColumn id="4" xr3:uid="{25168A0F-224B-4350-9FBB-3130B9BE67F4}" uniqueName="4" name="current_stock" queryTableFieldId="4"/>
    <tableColumn id="5" xr3:uid="{C367A136-70CD-4D7B-9948-D77B7EA41F4B}" uniqueName="5" name="reorder_point" queryTableFieldId="5"/>
    <tableColumn id="6" xr3:uid="{7569735E-4C61-4BB5-AAF2-D4873AE5F382}" uniqueName="6" name="target_stock_level" queryTableFieldId="6"/>
    <tableColumn id="7" xr3:uid="{F5E80145-37A4-4E7C-B3B4-A8A64627FA4F}" uniqueName="7" name="safety_stock_level" queryTableFieldId="7"/>
    <tableColumn id="8" xr3:uid="{802A496D-F604-451C-B6B1-8D119F3D842D}" uniqueName="8" name="stock_status" queryTableFieldId="8" dataDxfId="7"/>
    <tableColumn id="9" xr3:uid="{49C60EF1-2ADA-4821-A1AD-6833D1B2770D}" uniqueName="9" name="last_count_date" queryTableFieldId="9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ABD57-A0BA-414B-8F1B-BE03AFD4147F}" name="inventory_items" displayName="inventory_items" ref="A1:G9" tableType="queryTable" totalsRowShown="0">
  <autoFilter ref="A1:G9" xr:uid="{E77ABD57-A0BA-414B-8F1B-BE03AFD4147F}"/>
  <tableColumns count="7">
    <tableColumn id="1" xr3:uid="{D3A541E5-17CA-4DB3-B199-F305F01B2795}" uniqueName="1" name="item_id" queryTableFieldId="1" dataDxfId="5"/>
    <tableColumn id="2" xr3:uid="{42032FE5-A0AA-4B92-8B0D-52C128831E18}" uniqueName="2" name="item_name" queryTableFieldId="2" dataDxfId="4"/>
    <tableColumn id="3" xr3:uid="{6746394E-4FD6-48A5-8F4F-E67AD1FB6A5C}" uniqueName="3" name="item_category" queryTableFieldId="3" dataDxfId="3"/>
    <tableColumn id="4" xr3:uid="{5199ED87-6F4F-41D2-ACF4-6B6B3906B9D1}" uniqueName="4" name="criticality_level" queryTableFieldId="4" dataDxfId="2"/>
    <tableColumn id="5" xr3:uid="{5F563C5E-5218-46CA-B2AA-C06B83F2BCDA}" uniqueName="5" name="unit_of_measure" queryTableFieldId="5" dataDxfId="1"/>
    <tableColumn id="6" xr3:uid="{BE03526D-4620-4908-B30E-59889F9792C1}" uniqueName="6" name="preferred_vendor_id" queryTableFieldId="6" dataDxfId="0"/>
    <tableColumn id="7" xr3:uid="{0987FB52-BBC7-4DAD-9412-8B380BE785EE}" uniqueName="7" name="active_flag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F7A4-F5D5-49A7-95A0-C56114A5128C}">
  <dimension ref="A1:B62"/>
  <sheetViews>
    <sheetView showGridLines="0" tabSelected="1" workbookViewId="0">
      <pane ySplit="5" topLeftCell="A8" activePane="bottomLeft" state="frozen"/>
      <selection pane="bottomLeft" activeCell="A19" sqref="A19:XFD19"/>
    </sheetView>
  </sheetViews>
  <sheetFormatPr defaultRowHeight="15" x14ac:dyDescent="0.25"/>
  <sheetData>
    <row r="1" spans="1:2" ht="26.25" x14ac:dyDescent="0.4">
      <c r="A1" s="6" t="s">
        <v>166</v>
      </c>
      <c r="B1" s="6"/>
    </row>
    <row r="3" spans="1:2" ht="21" x14ac:dyDescent="0.35">
      <c r="A3" s="7" t="s">
        <v>167</v>
      </c>
    </row>
    <row r="5" spans="1:2" ht="15.75" x14ac:dyDescent="0.25">
      <c r="A5" s="8" t="s">
        <v>182</v>
      </c>
    </row>
    <row r="8" spans="1:2" ht="18.75" x14ac:dyDescent="0.3">
      <c r="A8" s="9" t="s">
        <v>168</v>
      </c>
    </row>
    <row r="9" spans="1:2" ht="18.75" x14ac:dyDescent="0.3">
      <c r="A9" s="9"/>
    </row>
    <row r="10" spans="1:2" x14ac:dyDescent="0.25">
      <c r="A10" t="s">
        <v>169</v>
      </c>
    </row>
    <row r="12" spans="1:2" x14ac:dyDescent="0.25">
      <c r="A12" t="s">
        <v>170</v>
      </c>
    </row>
    <row r="14" spans="1:2" x14ac:dyDescent="0.25">
      <c r="A14" t="s">
        <v>171</v>
      </c>
    </row>
    <row r="16" spans="1:2" x14ac:dyDescent="0.25">
      <c r="A16" t="s">
        <v>172</v>
      </c>
    </row>
    <row r="18" spans="1:1" x14ac:dyDescent="0.25">
      <c r="A18" t="s">
        <v>173</v>
      </c>
    </row>
    <row r="19" spans="1:1" s="10" customFormat="1" x14ac:dyDescent="0.25"/>
    <row r="22" spans="1:1" ht="18.75" x14ac:dyDescent="0.3">
      <c r="A22" s="9" t="s">
        <v>183</v>
      </c>
    </row>
    <row r="23" spans="1:1" ht="18.75" x14ac:dyDescent="0.3">
      <c r="A23" s="9"/>
    </row>
    <row r="24" spans="1:1" x14ac:dyDescent="0.25">
      <c r="A24" t="s">
        <v>174</v>
      </c>
    </row>
    <row r="26" spans="1:1" x14ac:dyDescent="0.25">
      <c r="A26" t="s">
        <v>175</v>
      </c>
    </row>
    <row r="28" spans="1:1" x14ac:dyDescent="0.25">
      <c r="A28" t="s">
        <v>176</v>
      </c>
    </row>
    <row r="30" spans="1:1" x14ac:dyDescent="0.25">
      <c r="A30" t="s">
        <v>181</v>
      </c>
    </row>
    <row r="32" spans="1:1" s="10" customFormat="1" x14ac:dyDescent="0.25"/>
    <row r="35" spans="1:1" ht="18.75" x14ac:dyDescent="0.3">
      <c r="A35" s="9" t="s">
        <v>190</v>
      </c>
    </row>
    <row r="37" spans="1:1" x14ac:dyDescent="0.25">
      <c r="A37" t="s">
        <v>184</v>
      </c>
    </row>
    <row r="39" spans="1:1" x14ac:dyDescent="0.25">
      <c r="A39" t="s">
        <v>185</v>
      </c>
    </row>
    <row r="41" spans="1:1" x14ac:dyDescent="0.25">
      <c r="A41" t="s">
        <v>186</v>
      </c>
    </row>
    <row r="43" spans="1:1" x14ac:dyDescent="0.25">
      <c r="A43" t="s">
        <v>187</v>
      </c>
    </row>
    <row r="45" spans="1:1" x14ac:dyDescent="0.25">
      <c r="A45" t="s">
        <v>188</v>
      </c>
    </row>
    <row r="47" spans="1:1" s="10" customFormat="1" x14ac:dyDescent="0.25"/>
    <row r="50" spans="1:1" ht="18.75" x14ac:dyDescent="0.3">
      <c r="A50" s="9" t="s">
        <v>191</v>
      </c>
    </row>
    <row r="52" spans="1:1" x14ac:dyDescent="0.25">
      <c r="A52" t="s">
        <v>177</v>
      </c>
    </row>
    <row r="54" spans="1:1" x14ac:dyDescent="0.25">
      <c r="A54" t="s">
        <v>178</v>
      </c>
    </row>
    <row r="56" spans="1:1" x14ac:dyDescent="0.25">
      <c r="A56" t="s">
        <v>179</v>
      </c>
    </row>
    <row r="58" spans="1:1" x14ac:dyDescent="0.25">
      <c r="A58" t="s">
        <v>180</v>
      </c>
    </row>
    <row r="60" spans="1:1" x14ac:dyDescent="0.25">
      <c r="A60" t="s">
        <v>189</v>
      </c>
    </row>
    <row r="62" spans="1:1" s="10" customFormat="1" x14ac:dyDescent="0.25"/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34"/>
  <sheetViews>
    <sheetView workbookViewId="0">
      <selection activeCell="J13" sqref="J13"/>
    </sheetView>
  </sheetViews>
  <sheetFormatPr defaultRowHeight="15" x14ac:dyDescent="0.25"/>
  <cols>
    <col min="1" max="1" width="20.5703125" customWidth="1"/>
    <col min="2" max="2" width="29" bestFit="1" customWidth="1"/>
    <col min="3" max="3" width="28.140625" customWidth="1"/>
    <col min="4" max="4" width="20.28515625" customWidth="1"/>
    <col min="5" max="5" width="22" customWidth="1"/>
    <col min="7" max="7" width="18.140625" customWidth="1"/>
    <col min="8" max="8" width="24.7109375" customWidth="1"/>
  </cols>
  <sheetData>
    <row r="4" spans="1:8" ht="18.75" x14ac:dyDescent="0.3">
      <c r="A4" s="3" t="s">
        <v>156</v>
      </c>
      <c r="D4" s="3" t="s">
        <v>160</v>
      </c>
      <c r="G4" s="3" t="s">
        <v>158</v>
      </c>
    </row>
    <row r="5" spans="1:8" x14ac:dyDescent="0.25">
      <c r="A5" s="5" t="s">
        <v>153</v>
      </c>
      <c r="B5" s="5" t="s">
        <v>155</v>
      </c>
      <c r="D5" s="5" t="s">
        <v>153</v>
      </c>
      <c r="E5" s="5" t="s">
        <v>159</v>
      </c>
      <c r="G5" s="5" t="s">
        <v>153</v>
      </c>
      <c r="H5" s="5" t="s">
        <v>157</v>
      </c>
    </row>
    <row r="6" spans="1:8" x14ac:dyDescent="0.25">
      <c r="A6" s="2" t="s">
        <v>56</v>
      </c>
      <c r="B6">
        <v>2</v>
      </c>
      <c r="D6" s="2" t="s">
        <v>81</v>
      </c>
      <c r="E6">
        <v>1</v>
      </c>
      <c r="G6" s="2" t="s">
        <v>20</v>
      </c>
      <c r="H6">
        <v>2</v>
      </c>
    </row>
    <row r="7" spans="1:8" x14ac:dyDescent="0.25">
      <c r="A7" s="2" t="s">
        <v>53</v>
      </c>
      <c r="B7">
        <v>2</v>
      </c>
      <c r="D7" s="2" t="s">
        <v>152</v>
      </c>
      <c r="E7">
        <v>1</v>
      </c>
      <c r="G7" s="2" t="s">
        <v>10</v>
      </c>
      <c r="H7">
        <v>1</v>
      </c>
    </row>
    <row r="8" spans="1:8" x14ac:dyDescent="0.25">
      <c r="A8" s="2" t="s">
        <v>51</v>
      </c>
      <c r="B8">
        <v>2</v>
      </c>
      <c r="D8" s="2" t="s">
        <v>148</v>
      </c>
      <c r="E8">
        <v>2</v>
      </c>
      <c r="G8" s="2" t="s">
        <v>112</v>
      </c>
      <c r="H8">
        <v>1</v>
      </c>
    </row>
    <row r="9" spans="1:8" x14ac:dyDescent="0.25">
      <c r="A9" s="2" t="s">
        <v>65</v>
      </c>
      <c r="B9">
        <v>1</v>
      </c>
      <c r="D9" s="2" t="s">
        <v>78</v>
      </c>
      <c r="E9">
        <v>2</v>
      </c>
      <c r="G9" s="2" t="s">
        <v>25</v>
      </c>
      <c r="H9">
        <v>1</v>
      </c>
    </row>
    <row r="10" spans="1:8" x14ac:dyDescent="0.25">
      <c r="A10" s="2" t="s">
        <v>61</v>
      </c>
      <c r="B10">
        <v>1</v>
      </c>
      <c r="D10" s="4" t="s">
        <v>154</v>
      </c>
      <c r="E10" s="5">
        <v>6</v>
      </c>
      <c r="G10" s="4" t="s">
        <v>154</v>
      </c>
      <c r="H10" s="5">
        <v>5</v>
      </c>
    </row>
    <row r="11" spans="1:8" x14ac:dyDescent="0.25">
      <c r="A11" s="4" t="s">
        <v>154</v>
      </c>
      <c r="B11" s="5">
        <v>8</v>
      </c>
    </row>
    <row r="13" spans="1:8" s="12" customFormat="1" ht="111" customHeight="1" x14ac:dyDescent="0.25">
      <c r="A13" s="11" t="s">
        <v>192</v>
      </c>
      <c r="B13" s="11" t="s">
        <v>193</v>
      </c>
      <c r="D13" s="11" t="s">
        <v>194</v>
      </c>
      <c r="E13" s="11" t="s">
        <v>195</v>
      </c>
    </row>
    <row r="16" spans="1:8" ht="18.75" x14ac:dyDescent="0.3">
      <c r="A16" s="3" t="s">
        <v>162</v>
      </c>
    </row>
    <row r="17" spans="1:5" x14ac:dyDescent="0.25">
      <c r="A17" s="5" t="s">
        <v>153</v>
      </c>
      <c r="B17" s="5" t="s">
        <v>161</v>
      </c>
    </row>
    <row r="18" spans="1:5" ht="18.75" x14ac:dyDescent="0.3">
      <c r="A18" s="2" t="s">
        <v>124</v>
      </c>
      <c r="B18">
        <v>1</v>
      </c>
      <c r="D18" s="3" t="s">
        <v>165</v>
      </c>
    </row>
    <row r="19" spans="1:5" x14ac:dyDescent="0.25">
      <c r="A19" s="2" t="s">
        <v>134</v>
      </c>
      <c r="B19">
        <v>1</v>
      </c>
      <c r="D19" s="5" t="s">
        <v>153</v>
      </c>
      <c r="E19" s="5" t="s">
        <v>157</v>
      </c>
    </row>
    <row r="20" spans="1:5" x14ac:dyDescent="0.25">
      <c r="A20" s="2" t="s">
        <v>127</v>
      </c>
      <c r="B20">
        <v>1</v>
      </c>
      <c r="D20" s="2" t="s">
        <v>163</v>
      </c>
      <c r="E20">
        <v>2</v>
      </c>
    </row>
    <row r="21" spans="1:5" x14ac:dyDescent="0.25">
      <c r="A21" s="2" t="s">
        <v>131</v>
      </c>
      <c r="B21">
        <v>1</v>
      </c>
      <c r="D21" s="2" t="s">
        <v>164</v>
      </c>
      <c r="E21">
        <v>3</v>
      </c>
    </row>
    <row r="22" spans="1:5" x14ac:dyDescent="0.25">
      <c r="A22" s="2" t="s">
        <v>129</v>
      </c>
      <c r="B22">
        <v>1</v>
      </c>
      <c r="D22" s="4" t="s">
        <v>154</v>
      </c>
      <c r="E22" s="5">
        <v>5</v>
      </c>
    </row>
    <row r="23" spans="1:5" x14ac:dyDescent="0.25">
      <c r="A23" s="4" t="s">
        <v>154</v>
      </c>
      <c r="B23" s="5">
        <v>5</v>
      </c>
    </row>
    <row r="25" spans="1:5" s="11" customFormat="1" ht="125.25" customHeight="1" x14ac:dyDescent="0.25">
      <c r="A25" s="11" t="s">
        <v>196</v>
      </c>
      <c r="B25" s="11" t="s">
        <v>197</v>
      </c>
      <c r="D25" s="11" t="s">
        <v>198</v>
      </c>
      <c r="E25" s="11" t="s">
        <v>199</v>
      </c>
    </row>
    <row r="28" spans="1:5" ht="18.75" x14ac:dyDescent="0.3">
      <c r="A28" s="3" t="s">
        <v>212</v>
      </c>
    </row>
    <row r="29" spans="1:5" x14ac:dyDescent="0.25">
      <c r="A29" s="14" t="s">
        <v>200</v>
      </c>
      <c r="B29" s="14" t="s">
        <v>201</v>
      </c>
      <c r="C29" s="14" t="s">
        <v>202</v>
      </c>
    </row>
    <row r="30" spans="1:5" ht="30" x14ac:dyDescent="0.25">
      <c r="A30" s="13" t="s">
        <v>203</v>
      </c>
      <c r="B30" s="13" t="s">
        <v>25</v>
      </c>
      <c r="C30" s="13" t="s">
        <v>204</v>
      </c>
    </row>
    <row r="31" spans="1:5" ht="30" x14ac:dyDescent="0.25">
      <c r="A31" s="13" t="s">
        <v>205</v>
      </c>
      <c r="B31" s="13" t="s">
        <v>10</v>
      </c>
      <c r="C31" s="13" t="s">
        <v>206</v>
      </c>
    </row>
    <row r="32" spans="1:5" ht="30" x14ac:dyDescent="0.25">
      <c r="A32" s="13" t="s">
        <v>207</v>
      </c>
      <c r="B32" s="13" t="s">
        <v>112</v>
      </c>
      <c r="C32" s="13" t="s">
        <v>208</v>
      </c>
    </row>
    <row r="33" spans="1:3" ht="45" x14ac:dyDescent="0.25">
      <c r="A33" s="13" t="s">
        <v>209</v>
      </c>
      <c r="B33" s="13" t="s">
        <v>25</v>
      </c>
      <c r="C33" s="13" t="s">
        <v>210</v>
      </c>
    </row>
    <row r="34" spans="1:3" ht="30" x14ac:dyDescent="0.25">
      <c r="A34" s="13" t="s">
        <v>165</v>
      </c>
      <c r="B34" s="13" t="s">
        <v>25</v>
      </c>
      <c r="C34" s="13" t="s">
        <v>211</v>
      </c>
    </row>
  </sheetData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C5AA-950B-4FCA-BA0D-45CBFB613A30}">
  <dimension ref="A1:M7"/>
  <sheetViews>
    <sheetView workbookViewId="0">
      <selection activeCell="A3" sqref="A3"/>
    </sheetView>
  </sheetViews>
  <sheetFormatPr defaultRowHeight="15" x14ac:dyDescent="0.25"/>
  <cols>
    <col min="1" max="1" width="14.42578125" bestFit="1" customWidth="1"/>
    <col min="2" max="2" width="12.28515625" bestFit="1" customWidth="1"/>
    <col min="3" max="3" width="10.140625" bestFit="1" customWidth="1"/>
    <col min="4" max="4" width="20" bestFit="1" customWidth="1"/>
    <col min="5" max="5" width="19" bestFit="1" customWidth="1"/>
    <col min="6" max="6" width="19.7109375" bestFit="1" customWidth="1"/>
    <col min="7" max="7" width="13.140625" bestFit="1" customWidth="1"/>
    <col min="8" max="8" width="25.28515625" bestFit="1" customWidth="1"/>
    <col min="9" max="9" width="22.140625" bestFit="1" customWidth="1"/>
    <col min="10" max="10" width="17" bestFit="1" customWidth="1"/>
    <col min="11" max="11" width="26" bestFit="1" customWidth="1"/>
    <col min="12" max="12" width="12.42578125" bestFit="1" customWidth="1"/>
    <col min="13" max="13" width="18.5703125" bestFit="1" customWidth="1"/>
  </cols>
  <sheetData>
    <row r="1" spans="1:13" x14ac:dyDescent="0.25">
      <c r="A1" t="s">
        <v>136</v>
      </c>
      <c r="B1" t="s">
        <v>74</v>
      </c>
      <c r="C1" t="s">
        <v>0</v>
      </c>
      <c r="D1" t="s">
        <v>42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75</v>
      </c>
    </row>
    <row r="2" spans="1:13" x14ac:dyDescent="0.25">
      <c r="A2" t="s">
        <v>145</v>
      </c>
      <c r="B2" t="s">
        <v>17</v>
      </c>
      <c r="C2" t="s">
        <v>13</v>
      </c>
      <c r="D2" t="s">
        <v>50</v>
      </c>
      <c r="E2">
        <v>60</v>
      </c>
      <c r="F2">
        <v>60</v>
      </c>
      <c r="G2" s="1">
        <v>46163</v>
      </c>
      <c r="H2" s="1">
        <v>46165</v>
      </c>
      <c r="I2" s="1">
        <v>46165</v>
      </c>
      <c r="J2" t="s">
        <v>78</v>
      </c>
      <c r="K2" t="b">
        <v>1</v>
      </c>
      <c r="L2" t="b">
        <v>0</v>
      </c>
      <c r="M2" t="s">
        <v>79</v>
      </c>
    </row>
    <row r="3" spans="1:13" x14ac:dyDescent="0.25">
      <c r="A3" t="s">
        <v>146</v>
      </c>
      <c r="B3" t="s">
        <v>22</v>
      </c>
      <c r="C3" t="s">
        <v>18</v>
      </c>
      <c r="D3" t="s">
        <v>55</v>
      </c>
      <c r="E3">
        <v>50</v>
      </c>
      <c r="F3">
        <v>40</v>
      </c>
      <c r="G3" s="1">
        <v>46163</v>
      </c>
      <c r="H3" s="1">
        <v>46166</v>
      </c>
      <c r="I3" s="1"/>
      <c r="J3" t="s">
        <v>81</v>
      </c>
      <c r="K3" t="b">
        <v>0</v>
      </c>
      <c r="L3" t="b">
        <v>1</v>
      </c>
      <c r="M3" t="s">
        <v>82</v>
      </c>
    </row>
    <row r="4" spans="1:13" x14ac:dyDescent="0.25">
      <c r="A4" t="s">
        <v>147</v>
      </c>
      <c r="B4" t="s">
        <v>17</v>
      </c>
      <c r="C4" t="s">
        <v>30</v>
      </c>
      <c r="D4" t="s">
        <v>59</v>
      </c>
      <c r="E4">
        <v>45</v>
      </c>
      <c r="G4" s="1">
        <v>46163</v>
      </c>
      <c r="H4" s="1">
        <v>46165</v>
      </c>
      <c r="I4" s="1"/>
      <c r="J4" t="s">
        <v>148</v>
      </c>
      <c r="L4" t="b">
        <v>0</v>
      </c>
      <c r="M4" t="s">
        <v>88</v>
      </c>
    </row>
    <row r="5" spans="1:13" x14ac:dyDescent="0.25">
      <c r="A5" t="s">
        <v>149</v>
      </c>
      <c r="B5" t="s">
        <v>36</v>
      </c>
      <c r="C5" t="s">
        <v>32</v>
      </c>
      <c r="D5" t="s">
        <v>63</v>
      </c>
      <c r="E5">
        <v>40</v>
      </c>
      <c r="G5" s="1">
        <v>46163</v>
      </c>
      <c r="H5" s="1">
        <v>46166</v>
      </c>
      <c r="I5" s="1"/>
      <c r="J5" t="s">
        <v>148</v>
      </c>
      <c r="L5" t="b">
        <v>0</v>
      </c>
      <c r="M5" t="s">
        <v>79</v>
      </c>
    </row>
    <row r="6" spans="1:13" x14ac:dyDescent="0.25">
      <c r="A6" t="s">
        <v>150</v>
      </c>
      <c r="B6" t="s">
        <v>12</v>
      </c>
      <c r="C6" t="s">
        <v>7</v>
      </c>
      <c r="D6" t="s">
        <v>50</v>
      </c>
      <c r="E6">
        <v>80</v>
      </c>
      <c r="F6">
        <v>80</v>
      </c>
      <c r="G6" s="1">
        <v>46162</v>
      </c>
      <c r="H6" s="1">
        <v>46164</v>
      </c>
      <c r="I6" s="1">
        <v>46164</v>
      </c>
      <c r="J6" t="s">
        <v>78</v>
      </c>
      <c r="K6" t="b">
        <v>1</v>
      </c>
      <c r="L6" t="b">
        <v>0</v>
      </c>
      <c r="M6" t="s">
        <v>79</v>
      </c>
    </row>
    <row r="7" spans="1:13" x14ac:dyDescent="0.25">
      <c r="A7" t="s">
        <v>151</v>
      </c>
      <c r="B7" t="s">
        <v>29</v>
      </c>
      <c r="C7" t="s">
        <v>26</v>
      </c>
      <c r="D7" t="s">
        <v>59</v>
      </c>
      <c r="E7">
        <v>50</v>
      </c>
      <c r="F7">
        <v>35</v>
      </c>
      <c r="G7" s="1">
        <v>46163</v>
      </c>
      <c r="H7" s="1">
        <v>46165</v>
      </c>
      <c r="I7" s="1">
        <v>46166</v>
      </c>
      <c r="J7" t="s">
        <v>152</v>
      </c>
      <c r="K7" t="b">
        <v>0</v>
      </c>
      <c r="L7" t="b">
        <v>1</v>
      </c>
      <c r="M7" t="s">
        <v>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933D-4647-4612-A2F8-436C92D7F8DF}">
  <dimension ref="A1:K6"/>
  <sheetViews>
    <sheetView workbookViewId="0">
      <selection activeCell="A3" sqref="A3"/>
    </sheetView>
  </sheetViews>
  <sheetFormatPr defaultRowHeight="15" x14ac:dyDescent="0.25"/>
  <cols>
    <col min="1" max="1" width="16.5703125" bestFit="1" customWidth="1"/>
    <col min="2" max="2" width="10.140625" bestFit="1" customWidth="1"/>
    <col min="3" max="3" width="20" bestFit="1" customWidth="1"/>
    <col min="4" max="4" width="20.28515625" bestFit="1" customWidth="1"/>
    <col min="5" max="5" width="19.140625" bestFit="1" customWidth="1"/>
    <col min="6" max="6" width="19.28515625" bestFit="1" customWidth="1"/>
    <col min="7" max="7" width="18.85546875" bestFit="1" customWidth="1"/>
    <col min="8" max="8" width="21.42578125" bestFit="1" customWidth="1"/>
    <col min="9" max="9" width="18.140625" bestFit="1" customWidth="1"/>
    <col min="10" max="10" width="16.140625" bestFit="1" customWidth="1"/>
    <col min="11" max="11" width="18.5703125" bestFit="1" customWidth="1"/>
  </cols>
  <sheetData>
    <row r="1" spans="1:11" x14ac:dyDescent="0.25">
      <c r="A1" t="s">
        <v>115</v>
      </c>
      <c r="B1" t="s">
        <v>0</v>
      </c>
      <c r="C1" t="s">
        <v>42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75</v>
      </c>
    </row>
    <row r="2" spans="1:11" x14ac:dyDescent="0.25">
      <c r="A2" t="s">
        <v>123</v>
      </c>
      <c r="B2" t="s">
        <v>18</v>
      </c>
      <c r="C2" t="s">
        <v>55</v>
      </c>
      <c r="D2">
        <v>12</v>
      </c>
      <c r="E2">
        <v>8</v>
      </c>
      <c r="F2">
        <v>-4</v>
      </c>
      <c r="G2" t="s">
        <v>124</v>
      </c>
      <c r="H2" t="s">
        <v>125</v>
      </c>
      <c r="I2" s="1">
        <v>46163</v>
      </c>
      <c r="J2" s="1"/>
      <c r="K2" t="s">
        <v>82</v>
      </c>
    </row>
    <row r="3" spans="1:11" x14ac:dyDescent="0.25">
      <c r="A3" t="s">
        <v>126</v>
      </c>
      <c r="B3" t="s">
        <v>30</v>
      </c>
      <c r="C3" t="s">
        <v>59</v>
      </c>
      <c r="D3">
        <v>15</v>
      </c>
      <c r="E3">
        <v>0</v>
      </c>
      <c r="F3">
        <v>-15</v>
      </c>
      <c r="G3" t="s">
        <v>127</v>
      </c>
      <c r="H3" t="s">
        <v>110</v>
      </c>
      <c r="I3" s="1">
        <v>46163</v>
      </c>
      <c r="J3" s="1"/>
      <c r="K3" t="s">
        <v>88</v>
      </c>
    </row>
    <row r="4" spans="1:11" x14ac:dyDescent="0.25">
      <c r="A4" t="s">
        <v>128</v>
      </c>
      <c r="B4" t="s">
        <v>37</v>
      </c>
      <c r="C4" t="s">
        <v>63</v>
      </c>
      <c r="D4">
        <v>140</v>
      </c>
      <c r="E4">
        <v>160</v>
      </c>
      <c r="F4">
        <v>20</v>
      </c>
      <c r="G4" t="s">
        <v>129</v>
      </c>
      <c r="H4" t="s">
        <v>114</v>
      </c>
      <c r="I4" s="1">
        <v>46162</v>
      </c>
      <c r="J4" s="1">
        <v>46163</v>
      </c>
      <c r="K4" t="s">
        <v>79</v>
      </c>
    </row>
    <row r="5" spans="1:11" x14ac:dyDescent="0.25">
      <c r="A5" t="s">
        <v>130</v>
      </c>
      <c r="B5" t="s">
        <v>13</v>
      </c>
      <c r="C5" t="s">
        <v>50</v>
      </c>
      <c r="D5">
        <v>25</v>
      </c>
      <c r="E5">
        <v>18</v>
      </c>
      <c r="F5">
        <v>-7</v>
      </c>
      <c r="G5" t="s">
        <v>131</v>
      </c>
      <c r="H5" t="s">
        <v>100</v>
      </c>
      <c r="I5" s="1">
        <v>46163</v>
      </c>
      <c r="J5" s="1"/>
      <c r="K5" t="s">
        <v>132</v>
      </c>
    </row>
    <row r="6" spans="1:11" x14ac:dyDescent="0.25">
      <c r="A6" t="s">
        <v>133</v>
      </c>
      <c r="B6" t="s">
        <v>26</v>
      </c>
      <c r="C6" t="s">
        <v>59</v>
      </c>
      <c r="D6">
        <v>30</v>
      </c>
      <c r="E6">
        <v>22</v>
      </c>
      <c r="F6">
        <v>-8</v>
      </c>
      <c r="G6" t="s">
        <v>134</v>
      </c>
      <c r="H6" t="s">
        <v>103</v>
      </c>
      <c r="I6" s="1">
        <v>46163</v>
      </c>
      <c r="J6" s="1"/>
      <c r="K6" t="s">
        <v>135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55DB-6556-41D5-8F23-2CA6513E6B75}">
  <dimension ref="A1:J6"/>
  <sheetViews>
    <sheetView workbookViewId="0">
      <selection activeCell="A3" sqref="A3"/>
    </sheetView>
  </sheetViews>
  <sheetFormatPr defaultRowHeight="15" x14ac:dyDescent="0.25"/>
  <cols>
    <col min="1" max="1" width="13.7109375" bestFit="1" customWidth="1"/>
    <col min="2" max="2" width="10.140625" bestFit="1" customWidth="1"/>
    <col min="3" max="3" width="20" bestFit="1" customWidth="1"/>
    <col min="4" max="4" width="25.42578125" bestFit="1" customWidth="1"/>
    <col min="5" max="5" width="19.28515625" bestFit="1" customWidth="1"/>
    <col min="6" max="6" width="29.28515625" bestFit="1" customWidth="1"/>
    <col min="7" max="7" width="65.85546875" bestFit="1" customWidth="1"/>
    <col min="8" max="8" width="16.7109375" bestFit="1" customWidth="1"/>
    <col min="9" max="9" width="18.5703125" bestFit="1" customWidth="1"/>
    <col min="10" max="10" width="18.85546875" bestFit="1" customWidth="1"/>
  </cols>
  <sheetData>
    <row r="1" spans="1:10" x14ac:dyDescent="0.25">
      <c r="A1" t="s">
        <v>91</v>
      </c>
      <c r="B1" t="s">
        <v>0</v>
      </c>
      <c r="C1" t="s">
        <v>42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75</v>
      </c>
      <c r="J1" t="s">
        <v>97</v>
      </c>
    </row>
    <row r="2" spans="1:10" x14ac:dyDescent="0.25">
      <c r="A2" t="s">
        <v>98</v>
      </c>
      <c r="B2" t="s">
        <v>18</v>
      </c>
      <c r="C2" t="s">
        <v>55</v>
      </c>
      <c r="D2" s="1">
        <v>46163</v>
      </c>
      <c r="E2" t="s">
        <v>20</v>
      </c>
      <c r="F2">
        <v>3</v>
      </c>
      <c r="G2" t="s">
        <v>99</v>
      </c>
      <c r="H2" t="b">
        <v>1</v>
      </c>
      <c r="I2" t="s">
        <v>82</v>
      </c>
      <c r="J2" t="s">
        <v>100</v>
      </c>
    </row>
    <row r="3" spans="1:10" x14ac:dyDescent="0.25">
      <c r="A3" t="s">
        <v>101</v>
      </c>
      <c r="B3" t="s">
        <v>30</v>
      </c>
      <c r="C3" t="s">
        <v>59</v>
      </c>
      <c r="D3" s="1">
        <v>46163</v>
      </c>
      <c r="E3" t="s">
        <v>10</v>
      </c>
      <c r="F3">
        <v>2</v>
      </c>
      <c r="G3" t="s">
        <v>102</v>
      </c>
      <c r="H3" t="b">
        <v>1</v>
      </c>
      <c r="I3" t="s">
        <v>88</v>
      </c>
      <c r="J3" t="s">
        <v>103</v>
      </c>
    </row>
    <row r="4" spans="1:10" x14ac:dyDescent="0.25">
      <c r="A4" t="s">
        <v>104</v>
      </c>
      <c r="B4" t="s">
        <v>26</v>
      </c>
      <c r="C4" t="s">
        <v>59</v>
      </c>
      <c r="D4" s="1">
        <v>46163</v>
      </c>
      <c r="E4" t="s">
        <v>25</v>
      </c>
      <c r="F4">
        <v>1</v>
      </c>
      <c r="G4" t="s">
        <v>105</v>
      </c>
      <c r="H4" t="b">
        <v>0</v>
      </c>
      <c r="I4" t="s">
        <v>79</v>
      </c>
      <c r="J4" t="s">
        <v>106</v>
      </c>
    </row>
    <row r="5" spans="1:10" x14ac:dyDescent="0.25">
      <c r="A5" t="s">
        <v>107</v>
      </c>
      <c r="B5" t="s">
        <v>32</v>
      </c>
      <c r="C5" t="s">
        <v>63</v>
      </c>
      <c r="D5" s="1">
        <v>46163</v>
      </c>
      <c r="E5" t="s">
        <v>20</v>
      </c>
      <c r="F5">
        <v>4</v>
      </c>
      <c r="G5" t="s">
        <v>108</v>
      </c>
      <c r="H5" t="b">
        <v>1</v>
      </c>
      <c r="I5" t="s">
        <v>109</v>
      </c>
      <c r="J5" t="s">
        <v>110</v>
      </c>
    </row>
    <row r="6" spans="1:10" x14ac:dyDescent="0.25">
      <c r="A6" t="s">
        <v>111</v>
      </c>
      <c r="B6" t="s">
        <v>13</v>
      </c>
      <c r="C6" t="s">
        <v>50</v>
      </c>
      <c r="D6" s="1">
        <v>46163</v>
      </c>
      <c r="E6" t="s">
        <v>112</v>
      </c>
      <c r="F6">
        <v>1</v>
      </c>
      <c r="G6" t="s">
        <v>113</v>
      </c>
      <c r="H6" t="b">
        <v>0</v>
      </c>
      <c r="I6" t="s">
        <v>79</v>
      </c>
      <c r="J6" t="s">
        <v>114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8927-671B-4762-A781-A7149A46C556}">
  <dimension ref="A1:L6"/>
  <sheetViews>
    <sheetView workbookViewId="0"/>
  </sheetViews>
  <sheetFormatPr defaultRowHeight="15" x14ac:dyDescent="0.25"/>
  <cols>
    <col min="1" max="1" width="19.28515625" bestFit="1" customWidth="1"/>
    <col min="2" max="2" width="10.140625" bestFit="1" customWidth="1"/>
    <col min="3" max="3" width="20" bestFit="1" customWidth="1"/>
    <col min="4" max="4" width="21.7109375" bestFit="1" customWidth="1"/>
    <col min="5" max="5" width="21.140625" bestFit="1" customWidth="1"/>
    <col min="6" max="6" width="20.42578125" bestFit="1" customWidth="1"/>
    <col min="7" max="7" width="15.140625" bestFit="1" customWidth="1"/>
    <col min="8" max="8" width="23.42578125" bestFit="1" customWidth="1"/>
    <col min="9" max="9" width="16.140625" bestFit="1" customWidth="1"/>
    <col min="10" max="10" width="23" bestFit="1" customWidth="1"/>
    <col min="11" max="11" width="12.28515625" bestFit="1" customWidth="1"/>
    <col min="12" max="12" width="18.5703125" bestFit="1" customWidth="1"/>
  </cols>
  <sheetData>
    <row r="1" spans="1:12" x14ac:dyDescent="0.25">
      <c r="A1" t="s">
        <v>66</v>
      </c>
      <c r="B1" t="s">
        <v>0</v>
      </c>
      <c r="C1" t="s">
        <v>42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</row>
    <row r="2" spans="1:12" x14ac:dyDescent="0.25">
      <c r="A2" t="s">
        <v>76</v>
      </c>
      <c r="B2" t="s">
        <v>13</v>
      </c>
      <c r="C2" t="s">
        <v>50</v>
      </c>
      <c r="D2" t="s">
        <v>77</v>
      </c>
      <c r="E2">
        <v>60</v>
      </c>
      <c r="F2">
        <v>60</v>
      </c>
      <c r="G2" s="1">
        <v>46163</v>
      </c>
      <c r="H2" s="1">
        <v>46165</v>
      </c>
      <c r="I2" s="1">
        <v>46165</v>
      </c>
      <c r="J2" t="s">
        <v>78</v>
      </c>
      <c r="K2" t="s">
        <v>17</v>
      </c>
      <c r="L2" t="s">
        <v>79</v>
      </c>
    </row>
    <row r="3" spans="1:12" x14ac:dyDescent="0.25">
      <c r="A3" t="s">
        <v>80</v>
      </c>
      <c r="B3" t="s">
        <v>18</v>
      </c>
      <c r="C3" t="s">
        <v>55</v>
      </c>
      <c r="D3" t="s">
        <v>77</v>
      </c>
      <c r="E3">
        <v>50</v>
      </c>
      <c r="F3">
        <v>40</v>
      </c>
      <c r="G3" s="1">
        <v>46163</v>
      </c>
      <c r="H3" s="1">
        <v>46166</v>
      </c>
      <c r="I3" s="1"/>
      <c r="J3" t="s">
        <v>81</v>
      </c>
      <c r="K3" t="s">
        <v>22</v>
      </c>
      <c r="L3" t="s">
        <v>82</v>
      </c>
    </row>
    <row r="4" spans="1:12" x14ac:dyDescent="0.25">
      <c r="A4" t="s">
        <v>83</v>
      </c>
      <c r="B4" t="s">
        <v>26</v>
      </c>
      <c r="C4" t="s">
        <v>59</v>
      </c>
      <c r="D4" t="s">
        <v>84</v>
      </c>
      <c r="E4">
        <v>50</v>
      </c>
      <c r="F4">
        <v>40</v>
      </c>
      <c r="G4" s="1">
        <v>46163</v>
      </c>
      <c r="H4" s="1">
        <v>46164</v>
      </c>
      <c r="I4" s="1">
        <v>46164</v>
      </c>
      <c r="J4" t="s">
        <v>78</v>
      </c>
      <c r="K4" t="s">
        <v>79</v>
      </c>
      <c r="L4" t="s">
        <v>85</v>
      </c>
    </row>
    <row r="5" spans="1:12" x14ac:dyDescent="0.25">
      <c r="A5" t="s">
        <v>86</v>
      </c>
      <c r="B5" t="s">
        <v>30</v>
      </c>
      <c r="C5" t="s">
        <v>59</v>
      </c>
      <c r="D5" t="s">
        <v>77</v>
      </c>
      <c r="E5">
        <v>45</v>
      </c>
      <c r="F5">
        <v>45</v>
      </c>
      <c r="G5" s="1">
        <v>46163</v>
      </c>
      <c r="H5" s="1">
        <v>46165</v>
      </c>
      <c r="I5" s="1"/>
      <c r="J5" t="s">
        <v>87</v>
      </c>
      <c r="K5" t="s">
        <v>17</v>
      </c>
      <c r="L5" t="s">
        <v>88</v>
      </c>
    </row>
    <row r="6" spans="1:12" x14ac:dyDescent="0.25">
      <c r="A6" t="s">
        <v>89</v>
      </c>
      <c r="B6" t="s">
        <v>32</v>
      </c>
      <c r="C6" t="s">
        <v>63</v>
      </c>
      <c r="D6" t="s">
        <v>77</v>
      </c>
      <c r="E6">
        <v>40</v>
      </c>
      <c r="F6">
        <v>40</v>
      </c>
      <c r="G6" s="1">
        <v>46163</v>
      </c>
      <c r="H6" s="1">
        <v>46166</v>
      </c>
      <c r="I6" s="1"/>
      <c r="J6" t="s">
        <v>90</v>
      </c>
      <c r="K6" t="s">
        <v>36</v>
      </c>
      <c r="L6" t="s">
        <v>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A6B4-0DAE-4293-9FF6-BBF6A0223300}">
  <dimension ref="A1:I9"/>
  <sheetViews>
    <sheetView workbookViewId="0">
      <selection activeCell="A2" sqref="A2"/>
    </sheetView>
  </sheetViews>
  <sheetFormatPr defaultRowHeight="15" x14ac:dyDescent="0.25"/>
  <cols>
    <col min="1" max="1" width="23" bestFit="1" customWidth="1"/>
    <col min="2" max="2" width="10.140625" bestFit="1" customWidth="1"/>
    <col min="3" max="3" width="20" bestFit="1" customWidth="1"/>
    <col min="4" max="4" width="15.42578125" bestFit="1" customWidth="1"/>
    <col min="5" max="5" width="15.85546875" bestFit="1" customWidth="1"/>
    <col min="6" max="6" width="19.85546875" bestFit="1" customWidth="1"/>
    <col min="7" max="7" width="20" bestFit="1" customWidth="1"/>
    <col min="8" max="8" width="14.140625" bestFit="1" customWidth="1"/>
    <col min="9" max="9" width="17.5703125" bestFit="1" customWidth="1"/>
  </cols>
  <sheetData>
    <row r="1" spans="1:9" x14ac:dyDescent="0.25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 spans="1:9" x14ac:dyDescent="0.25">
      <c r="A2" t="s">
        <v>49</v>
      </c>
      <c r="B2" t="s">
        <v>7</v>
      </c>
      <c r="C2" t="s">
        <v>50</v>
      </c>
      <c r="D2">
        <v>42</v>
      </c>
      <c r="E2">
        <v>30</v>
      </c>
      <c r="F2">
        <v>90</v>
      </c>
      <c r="G2">
        <v>20</v>
      </c>
      <c r="H2" t="s">
        <v>51</v>
      </c>
      <c r="I2" s="1">
        <v>46163</v>
      </c>
    </row>
    <row r="3" spans="1:9" x14ac:dyDescent="0.25">
      <c r="A3" t="s">
        <v>52</v>
      </c>
      <c r="B3" t="s">
        <v>13</v>
      </c>
      <c r="C3" t="s">
        <v>50</v>
      </c>
      <c r="D3">
        <v>18</v>
      </c>
      <c r="E3">
        <v>25</v>
      </c>
      <c r="F3">
        <v>75</v>
      </c>
      <c r="G3">
        <v>15</v>
      </c>
      <c r="H3" t="s">
        <v>53</v>
      </c>
      <c r="I3" s="1">
        <v>46163</v>
      </c>
    </row>
    <row r="4" spans="1:9" x14ac:dyDescent="0.25">
      <c r="A4" t="s">
        <v>54</v>
      </c>
      <c r="B4" t="s">
        <v>18</v>
      </c>
      <c r="C4" t="s">
        <v>55</v>
      </c>
      <c r="D4">
        <v>8</v>
      </c>
      <c r="E4">
        <v>20</v>
      </c>
      <c r="F4">
        <v>60</v>
      </c>
      <c r="G4">
        <v>10</v>
      </c>
      <c r="H4" t="s">
        <v>56</v>
      </c>
      <c r="I4" s="1">
        <v>46163</v>
      </c>
    </row>
    <row r="5" spans="1:9" x14ac:dyDescent="0.25">
      <c r="A5" t="s">
        <v>57</v>
      </c>
      <c r="B5" t="s">
        <v>23</v>
      </c>
      <c r="C5" t="s">
        <v>55</v>
      </c>
      <c r="D5">
        <v>115</v>
      </c>
      <c r="E5">
        <v>40</v>
      </c>
      <c r="F5">
        <v>120</v>
      </c>
      <c r="G5">
        <v>25</v>
      </c>
      <c r="H5" t="s">
        <v>51</v>
      </c>
      <c r="I5" s="1">
        <v>46163</v>
      </c>
    </row>
    <row r="6" spans="1:9" x14ac:dyDescent="0.25">
      <c r="A6" t="s">
        <v>58</v>
      </c>
      <c r="B6" t="s">
        <v>26</v>
      </c>
      <c r="C6" t="s">
        <v>59</v>
      </c>
      <c r="D6">
        <v>22</v>
      </c>
      <c r="E6">
        <v>35</v>
      </c>
      <c r="F6">
        <v>100</v>
      </c>
      <c r="G6">
        <v>20</v>
      </c>
      <c r="H6" t="s">
        <v>53</v>
      </c>
      <c r="I6" s="1">
        <v>46163</v>
      </c>
    </row>
    <row r="7" spans="1:9" x14ac:dyDescent="0.25">
      <c r="A7" t="s">
        <v>60</v>
      </c>
      <c r="B7" t="s">
        <v>30</v>
      </c>
      <c r="C7" t="s">
        <v>59</v>
      </c>
      <c r="D7">
        <v>0</v>
      </c>
      <c r="E7">
        <v>15</v>
      </c>
      <c r="F7">
        <v>45</v>
      </c>
      <c r="G7">
        <v>8</v>
      </c>
      <c r="H7" t="s">
        <v>61</v>
      </c>
      <c r="I7" s="1">
        <v>46163</v>
      </c>
    </row>
    <row r="8" spans="1:9" x14ac:dyDescent="0.25">
      <c r="A8" t="s">
        <v>62</v>
      </c>
      <c r="B8" t="s">
        <v>32</v>
      </c>
      <c r="C8" t="s">
        <v>63</v>
      </c>
      <c r="D8">
        <v>14</v>
      </c>
      <c r="E8">
        <v>20</v>
      </c>
      <c r="F8">
        <v>50</v>
      </c>
      <c r="G8">
        <v>10</v>
      </c>
      <c r="H8" t="s">
        <v>56</v>
      </c>
      <c r="I8" s="1">
        <v>46163</v>
      </c>
    </row>
    <row r="9" spans="1:9" x14ac:dyDescent="0.25">
      <c r="A9" t="s">
        <v>64</v>
      </c>
      <c r="B9" t="s">
        <v>37</v>
      </c>
      <c r="C9" t="s">
        <v>63</v>
      </c>
      <c r="D9">
        <v>160</v>
      </c>
      <c r="E9">
        <v>50</v>
      </c>
      <c r="F9">
        <v>150</v>
      </c>
      <c r="G9">
        <v>30</v>
      </c>
      <c r="H9" t="s">
        <v>65</v>
      </c>
      <c r="I9" s="1">
        <v>46163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FCC4-F77E-4FD5-9A1C-0933BA131941}">
  <dimension ref="A1:G9"/>
  <sheetViews>
    <sheetView workbookViewId="0"/>
  </sheetViews>
  <sheetFormatPr defaultRowHeight="15" x14ac:dyDescent="0.25"/>
  <cols>
    <col min="1" max="1" width="10.140625" bestFit="1" customWidth="1"/>
    <col min="2" max="2" width="26" bestFit="1" customWidth="1"/>
    <col min="3" max="3" width="20.140625" bestFit="1" customWidth="1"/>
    <col min="4" max="4" width="17" bestFit="1" customWidth="1"/>
    <col min="5" max="5" width="18.5703125" bestFit="1" customWidth="1"/>
    <col min="6" max="6" width="22.140625" bestFit="1" customWidth="1"/>
    <col min="7" max="7" width="12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b">
        <v>1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b">
        <v>1</v>
      </c>
    </row>
    <row r="4" spans="1:7" x14ac:dyDescent="0.25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b">
        <v>1</v>
      </c>
    </row>
    <row r="5" spans="1:7" x14ac:dyDescent="0.25">
      <c r="A5" t="s">
        <v>23</v>
      </c>
      <c r="B5" t="s">
        <v>24</v>
      </c>
      <c r="C5" t="s">
        <v>9</v>
      </c>
      <c r="D5" t="s">
        <v>25</v>
      </c>
      <c r="E5" t="s">
        <v>11</v>
      </c>
      <c r="F5" t="s">
        <v>12</v>
      </c>
      <c r="G5" t="b">
        <v>1</v>
      </c>
    </row>
    <row r="6" spans="1:7" x14ac:dyDescent="0.25">
      <c r="A6" t="s">
        <v>26</v>
      </c>
      <c r="B6" t="s">
        <v>27</v>
      </c>
      <c r="C6" t="s">
        <v>28</v>
      </c>
      <c r="D6" t="s">
        <v>10</v>
      </c>
      <c r="E6" t="s">
        <v>11</v>
      </c>
      <c r="F6" t="s">
        <v>29</v>
      </c>
      <c r="G6" t="b">
        <v>1</v>
      </c>
    </row>
    <row r="7" spans="1:7" x14ac:dyDescent="0.25">
      <c r="A7" t="s">
        <v>30</v>
      </c>
      <c r="B7" t="s">
        <v>31</v>
      </c>
      <c r="C7" t="s">
        <v>9</v>
      </c>
      <c r="D7" t="s">
        <v>25</v>
      </c>
      <c r="E7" t="s">
        <v>11</v>
      </c>
      <c r="F7" t="s">
        <v>17</v>
      </c>
      <c r="G7" t="b">
        <v>1</v>
      </c>
    </row>
    <row r="8" spans="1:7" x14ac:dyDescent="0.25">
      <c r="A8" t="s">
        <v>32</v>
      </c>
      <c r="B8" t="s">
        <v>33</v>
      </c>
      <c r="C8" t="s">
        <v>34</v>
      </c>
      <c r="D8" t="s">
        <v>20</v>
      </c>
      <c r="E8" t="s">
        <v>35</v>
      </c>
      <c r="F8" t="s">
        <v>36</v>
      </c>
      <c r="G8" t="b">
        <v>1</v>
      </c>
    </row>
    <row r="9" spans="1:7" x14ac:dyDescent="0.25">
      <c r="A9" t="s">
        <v>37</v>
      </c>
      <c r="B9" t="s">
        <v>38</v>
      </c>
      <c r="C9" t="s">
        <v>39</v>
      </c>
      <c r="D9" t="s">
        <v>10</v>
      </c>
      <c r="E9" t="s">
        <v>21</v>
      </c>
      <c r="F9" t="s">
        <v>40</v>
      </c>
      <c r="G9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CFD646-9E23-476E-83CD-A1D8FA99D6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PivotTables</vt:lpstr>
      <vt:lpstr>vendor-shipments</vt:lpstr>
      <vt:lpstr>inventory-discrepancies</vt:lpstr>
      <vt:lpstr>shortage-events</vt:lpstr>
      <vt:lpstr>replenishment-events</vt:lpstr>
      <vt:lpstr>location-inventory</vt:lpstr>
      <vt:lpstr>inventory-items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2026-06-05T16:25:17Z</dcterms:modified>
</cp:coreProperties>
</file>